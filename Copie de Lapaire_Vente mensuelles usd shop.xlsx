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kevinaie/Downloads/"/>
    </mc:Choice>
  </mc:AlternateContent>
  <xr:revisionPtr revIDLastSave="0" documentId="8_{14D28E2D-C486-304B-9A67-6B2D236DAAC6}" xr6:coauthVersionLast="47" xr6:coauthVersionMax="47" xr10:uidLastSave="{00000000-0000-0000-0000-000000000000}"/>
  <bookViews>
    <workbookView xWindow="0" yWindow="760" windowWidth="29400" windowHeight="16820" xr2:uid="{00000000-000D-0000-FFFF-FFFF00000000}"/>
  </bookViews>
  <sheets>
    <sheet name="Monthly sales U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6" i="1" l="1"/>
  <c r="AH105" i="1"/>
  <c r="AH104" i="1"/>
  <c r="AH103" i="1"/>
  <c r="AI102" i="1"/>
  <c r="AH102" i="1"/>
  <c r="AJ102" i="1" s="1"/>
  <c r="AI101" i="1"/>
  <c r="AJ101" i="1" s="1"/>
  <c r="AH101" i="1"/>
  <c r="AI100" i="1"/>
  <c r="AH100" i="1"/>
  <c r="AI99" i="1"/>
  <c r="AH99" i="1"/>
  <c r="AJ99" i="1" s="1"/>
  <c r="AI98" i="1"/>
  <c r="AH98" i="1"/>
  <c r="AI97" i="1"/>
  <c r="AH97" i="1"/>
  <c r="AI96" i="1"/>
  <c r="AH96" i="1"/>
  <c r="AI95" i="1"/>
  <c r="AH95" i="1"/>
  <c r="AI94" i="1"/>
  <c r="AH94" i="1"/>
  <c r="AJ94" i="1" s="1"/>
  <c r="AI93" i="1"/>
  <c r="AH93" i="1"/>
  <c r="AI92" i="1"/>
  <c r="AH92" i="1"/>
  <c r="AJ92" i="1" s="1"/>
  <c r="AI91" i="1"/>
  <c r="AH91" i="1"/>
  <c r="AI90" i="1"/>
  <c r="AH90" i="1"/>
  <c r="AJ90" i="1" s="1"/>
  <c r="AI89" i="1"/>
  <c r="AH89" i="1"/>
  <c r="AJ89" i="1" s="1"/>
  <c r="AI88" i="1"/>
  <c r="AH88" i="1"/>
  <c r="AJ88" i="1" s="1"/>
  <c r="AJ87" i="1"/>
  <c r="AI87" i="1"/>
  <c r="AH87" i="1"/>
  <c r="AI86" i="1"/>
  <c r="AH86" i="1"/>
  <c r="AJ86" i="1" s="1"/>
  <c r="AJ85" i="1"/>
  <c r="AI85" i="1"/>
  <c r="AH85" i="1"/>
  <c r="AJ84" i="1"/>
  <c r="AI84" i="1"/>
  <c r="AH84" i="1"/>
  <c r="AI83" i="1"/>
  <c r="AH83" i="1"/>
  <c r="AJ83" i="1" s="1"/>
  <c r="AJ82" i="1"/>
  <c r="AI82" i="1"/>
  <c r="AH82" i="1"/>
  <c r="AI81" i="1"/>
  <c r="AH81" i="1"/>
  <c r="AJ81" i="1" s="1"/>
  <c r="AI80" i="1"/>
  <c r="AH80" i="1"/>
  <c r="AJ80" i="1" s="1"/>
  <c r="AI79" i="1"/>
  <c r="AH79" i="1"/>
  <c r="AJ79" i="1" s="1"/>
  <c r="AI78" i="1"/>
  <c r="AH78" i="1"/>
  <c r="AJ78" i="1" s="1"/>
  <c r="AJ77" i="1"/>
  <c r="AI77" i="1"/>
  <c r="AH77" i="1"/>
  <c r="AI76" i="1"/>
  <c r="AH76" i="1"/>
  <c r="AJ76" i="1" s="1"/>
  <c r="AJ75" i="1"/>
  <c r="AI75" i="1"/>
  <c r="AH75" i="1"/>
  <c r="AJ74" i="1"/>
  <c r="AI74" i="1"/>
  <c r="AH74" i="1"/>
  <c r="AI73" i="1"/>
  <c r="AH73" i="1"/>
  <c r="AJ73" i="1" s="1"/>
  <c r="AJ72" i="1"/>
  <c r="AI72" i="1"/>
  <c r="AH72" i="1"/>
  <c r="AI71" i="1"/>
  <c r="AH71" i="1"/>
  <c r="AJ71" i="1" s="1"/>
  <c r="AI70" i="1"/>
  <c r="AH70" i="1"/>
  <c r="AJ70" i="1" s="1"/>
  <c r="AI69" i="1"/>
  <c r="AH69" i="1"/>
  <c r="AJ69" i="1" s="1"/>
  <c r="AI68" i="1"/>
  <c r="AH68" i="1"/>
  <c r="AJ68" i="1" s="1"/>
  <c r="AJ67" i="1"/>
  <c r="AI67" i="1"/>
  <c r="AH67" i="1"/>
  <c r="AI66" i="1"/>
  <c r="AH66" i="1"/>
  <c r="AJ66" i="1" s="1"/>
  <c r="AJ65" i="1"/>
  <c r="AI65" i="1"/>
  <c r="AH65" i="1"/>
  <c r="AJ64" i="1"/>
  <c r="AI64" i="1"/>
  <c r="AH64" i="1"/>
  <c r="AI63" i="1"/>
  <c r="AH63" i="1"/>
  <c r="AJ63" i="1" s="1"/>
  <c r="AJ62" i="1"/>
  <c r="AI62" i="1"/>
  <c r="AH62" i="1"/>
  <c r="AI61" i="1"/>
  <c r="AH61" i="1"/>
  <c r="AJ61" i="1" s="1"/>
  <c r="AI60" i="1"/>
  <c r="AH60" i="1"/>
  <c r="AJ60" i="1" s="1"/>
  <c r="AI59" i="1"/>
  <c r="AH59" i="1"/>
  <c r="AJ59" i="1" s="1"/>
  <c r="AI58" i="1"/>
  <c r="AH58" i="1"/>
  <c r="AJ58" i="1" s="1"/>
  <c r="AI57" i="1"/>
  <c r="AJ57" i="1" s="1"/>
  <c r="AH57" i="1"/>
  <c r="AI56" i="1"/>
  <c r="AH56" i="1"/>
  <c r="AJ56" i="1" s="1"/>
  <c r="AI55" i="1"/>
  <c r="AH55" i="1"/>
  <c r="AJ55" i="1" s="1"/>
  <c r="AI54" i="1"/>
  <c r="AH54" i="1"/>
  <c r="AJ54" i="1" s="1"/>
  <c r="AI53" i="1"/>
  <c r="AH53" i="1"/>
  <c r="AJ53" i="1" s="1"/>
  <c r="AI52" i="1"/>
  <c r="AH52" i="1"/>
  <c r="AJ52" i="1" s="1"/>
  <c r="AI51" i="1"/>
  <c r="AJ51" i="1" s="1"/>
  <c r="AH51" i="1"/>
  <c r="AI50" i="1"/>
  <c r="AH50" i="1"/>
  <c r="AJ50" i="1" s="1"/>
  <c r="AI49" i="1"/>
  <c r="AH49" i="1"/>
  <c r="AJ49" i="1" s="1"/>
  <c r="AI48" i="1"/>
  <c r="AH48" i="1"/>
  <c r="AJ48" i="1" s="1"/>
  <c r="AJ47" i="1"/>
  <c r="AI47" i="1"/>
  <c r="AH47" i="1"/>
  <c r="AI46" i="1"/>
  <c r="AH46" i="1"/>
  <c r="AJ46" i="1" s="1"/>
  <c r="AI45" i="1"/>
  <c r="AH45" i="1"/>
  <c r="AJ45" i="1" s="1"/>
  <c r="AJ44" i="1"/>
  <c r="AI44" i="1"/>
  <c r="AH44" i="1"/>
  <c r="AI43" i="1"/>
  <c r="AH43" i="1"/>
  <c r="AJ43" i="1" s="1"/>
  <c r="AI42" i="1"/>
  <c r="AH42" i="1"/>
  <c r="AJ42" i="1" s="1"/>
  <c r="AI41" i="1"/>
  <c r="AJ41" i="1" s="1"/>
  <c r="AH41" i="1"/>
  <c r="AI40" i="1"/>
  <c r="AH40" i="1"/>
  <c r="AJ40" i="1" s="1"/>
  <c r="AI39" i="1"/>
  <c r="AH39" i="1"/>
  <c r="AJ39" i="1" s="1"/>
  <c r="AI38" i="1"/>
  <c r="AH38" i="1"/>
  <c r="AJ38" i="1" s="1"/>
  <c r="AJ37" i="1"/>
  <c r="AI37" i="1"/>
  <c r="AH37" i="1"/>
  <c r="AI36" i="1"/>
  <c r="AH36" i="1"/>
  <c r="AJ36" i="1" s="1"/>
  <c r="AI35" i="1"/>
  <c r="AH35" i="1"/>
  <c r="AJ35" i="1" s="1"/>
  <c r="AJ34" i="1"/>
  <c r="AI34" i="1"/>
  <c r="AH34" i="1"/>
  <c r="AI33" i="1"/>
  <c r="AH33" i="1"/>
  <c r="AJ33" i="1" s="1"/>
  <c r="AI32" i="1"/>
  <c r="AH32" i="1"/>
  <c r="AJ32" i="1" s="1"/>
  <c r="AI31" i="1"/>
  <c r="AJ31" i="1" s="1"/>
  <c r="AH31" i="1"/>
  <c r="AI30" i="1"/>
  <c r="AH30" i="1"/>
  <c r="AJ30" i="1" s="1"/>
  <c r="AI29" i="1"/>
  <c r="AH29" i="1"/>
  <c r="AJ29" i="1" s="1"/>
  <c r="AI28" i="1"/>
  <c r="AH28" i="1"/>
  <c r="AJ28" i="1" s="1"/>
  <c r="AJ27" i="1"/>
  <c r="AI27" i="1"/>
  <c r="AH27" i="1"/>
  <c r="AI26" i="1"/>
  <c r="AH26" i="1"/>
  <c r="AJ26" i="1" s="1"/>
  <c r="AI25" i="1"/>
  <c r="AH25" i="1"/>
  <c r="AJ25" i="1" s="1"/>
  <c r="AJ24" i="1"/>
  <c r="AI24" i="1"/>
  <c r="AH24" i="1"/>
  <c r="AI23" i="1"/>
  <c r="AH23" i="1"/>
  <c r="AJ23" i="1" s="1"/>
  <c r="AI22" i="1"/>
  <c r="AH22" i="1"/>
  <c r="AJ22" i="1" s="1"/>
  <c r="AI21" i="1"/>
  <c r="AJ21" i="1" s="1"/>
  <c r="AH21" i="1"/>
  <c r="AI20" i="1"/>
  <c r="AH20" i="1"/>
  <c r="AJ20" i="1" s="1"/>
  <c r="AI19" i="1"/>
  <c r="AH19" i="1"/>
  <c r="AJ19" i="1" s="1"/>
  <c r="AI18" i="1"/>
  <c r="AH18" i="1"/>
  <c r="AJ18" i="1" s="1"/>
  <c r="AJ17" i="1"/>
  <c r="AI17" i="1"/>
  <c r="AH17" i="1"/>
  <c r="AI16" i="1"/>
  <c r="AH16" i="1"/>
  <c r="AJ16" i="1" s="1"/>
  <c r="AI15" i="1"/>
  <c r="AH15" i="1"/>
  <c r="AJ15" i="1" s="1"/>
  <c r="AJ14" i="1"/>
  <c r="AI14" i="1"/>
  <c r="AH14" i="1"/>
  <c r="AI13" i="1"/>
  <c r="AH13" i="1"/>
  <c r="AJ13" i="1" s="1"/>
  <c r="AI12" i="1"/>
  <c r="AH12" i="1"/>
  <c r="AJ12" i="1" s="1"/>
  <c r="AI11" i="1"/>
  <c r="AJ11" i="1" s="1"/>
  <c r="AH11" i="1"/>
  <c r="AI10" i="1"/>
  <c r="AH10" i="1"/>
  <c r="AJ10" i="1" s="1"/>
  <c r="AI9" i="1"/>
  <c r="AH9" i="1"/>
  <c r="AJ9" i="1" s="1"/>
  <c r="AI8" i="1"/>
  <c r="AH8" i="1"/>
  <c r="AJ8" i="1" s="1"/>
  <c r="AJ7" i="1"/>
  <c r="AI7" i="1"/>
  <c r="AH7" i="1"/>
  <c r="AI6" i="1"/>
  <c r="AH6" i="1"/>
  <c r="AJ6" i="1" s="1"/>
  <c r="AJ5" i="1"/>
  <c r="AI5" i="1"/>
  <c r="AH5" i="1"/>
  <c r="AJ4" i="1"/>
  <c r="AI4" i="1"/>
  <c r="AH4" i="1"/>
  <c r="AI3" i="1"/>
  <c r="AH3" i="1"/>
  <c r="AJ3" i="1" s="1"/>
  <c r="AI2" i="1"/>
  <c r="AH2" i="1"/>
  <c r="AJ2" i="1" s="1"/>
  <c r="AJ95" i="1" l="1"/>
  <c r="AJ100" i="1"/>
  <c r="AJ91" i="1"/>
  <c r="AJ96" i="1"/>
  <c r="AJ97" i="1"/>
  <c r="AJ93" i="1"/>
  <c r="AJ98" i="1"/>
</calcChain>
</file>

<file path=xl/sharedStrings.xml><?xml version="1.0" encoding="utf-8"?>
<sst xmlns="http://schemas.openxmlformats.org/spreadsheetml/2006/main" count="217" uniqueCount="120">
  <si>
    <t>Outlet</t>
  </si>
  <si>
    <t>Country</t>
  </si>
  <si>
    <t>Total général</t>
  </si>
  <si>
    <t>Nbr de mois d'activité</t>
  </si>
  <si>
    <t>Monthly averge (USD)</t>
  </si>
  <si>
    <t>9 Kilo-Abidjan</t>
  </si>
  <si>
    <t>CI</t>
  </si>
  <si>
    <t>Abatta-Abidjan</t>
  </si>
  <si>
    <t>Abengourou</t>
  </si>
  <si>
    <t>Abobo-Abidjan</t>
  </si>
  <si>
    <t>ACI 2000-Bamako</t>
  </si>
  <si>
    <t>ML</t>
  </si>
  <si>
    <t>Adetikope-Lome</t>
  </si>
  <si>
    <t>TG</t>
  </si>
  <si>
    <t>Adidogome-Lome</t>
  </si>
  <si>
    <t>Agoe-Lome</t>
  </si>
  <si>
    <t>Agori-Calavi</t>
  </si>
  <si>
    <t>BJ</t>
  </si>
  <si>
    <t>Akpakpa-Cotonou</t>
  </si>
  <si>
    <t>Angre-Abidjan</t>
  </si>
  <si>
    <t>Angre-CHU-Abidjan</t>
  </si>
  <si>
    <t>Atakpame</t>
  </si>
  <si>
    <t>Avepozo-Lome</t>
  </si>
  <si>
    <t>Badalabougou-Bamako</t>
  </si>
  <si>
    <t>Bassam</t>
  </si>
  <si>
    <t>Be Chateau-Lome</t>
  </si>
  <si>
    <t>Bobo Centre</t>
  </si>
  <si>
    <t>BF</t>
  </si>
  <si>
    <t>Bobo Stade</t>
  </si>
  <si>
    <t>Bobo-Bindougousso</t>
  </si>
  <si>
    <t>Bodo</t>
  </si>
  <si>
    <t>Bonheur-ville-Ouaga</t>
  </si>
  <si>
    <t>Bonoua</t>
  </si>
  <si>
    <t>Bouake Commerce</t>
  </si>
  <si>
    <t>Bouake Kamanoukro</t>
  </si>
  <si>
    <t>Boulmiougou-Ouaga</t>
  </si>
  <si>
    <t>Calavi Mairie</t>
  </si>
  <si>
    <t>Catchi-Porto Novo</t>
  </si>
  <si>
    <t>Cocody Danga-Abidjan</t>
  </si>
  <si>
    <t>Cocotomey-Cotonou</t>
  </si>
  <si>
    <t>Dabou</t>
  </si>
  <si>
    <t>Dassasgho-Ouaga</t>
  </si>
  <si>
    <t>DjifaKpota-Lome</t>
  </si>
  <si>
    <t>Fidjrosse-Cotonou</t>
  </si>
  <si>
    <t>Gayaza road-Kampala</t>
  </si>
  <si>
    <t>UG</t>
  </si>
  <si>
    <t>Hedzranawoe-Lome</t>
  </si>
  <si>
    <t>Hippodrome-Bamako</t>
  </si>
  <si>
    <t>Jinja</t>
  </si>
  <si>
    <t>Kabalagala-Kampala</t>
  </si>
  <si>
    <t>Kalaban Coura-Bamako</t>
  </si>
  <si>
    <t>Kampala Road-Kampala</t>
  </si>
  <si>
    <t>Kireka-Kampala</t>
  </si>
  <si>
    <t>Kisementi-Kampala</t>
  </si>
  <si>
    <t>Kitintale-Kampala</t>
  </si>
  <si>
    <t>Koudougou</t>
  </si>
  <si>
    <t>Koulouba-Ouaga</t>
  </si>
  <si>
    <t>Koumassi-Abidjan</t>
  </si>
  <si>
    <t>Kyaliwajjala-Kampala</t>
  </si>
  <si>
    <t>Kyengera-Kampala</t>
  </si>
  <si>
    <t>LaPosteUFHB-Abidjan</t>
  </si>
  <si>
    <t>Legbassito-Lome</t>
  </si>
  <si>
    <t>M'Badon-Abidjan</t>
  </si>
  <si>
    <t>Makindye-Kampala</t>
  </si>
  <si>
    <t/>
  </si>
  <si>
    <t>Marcory-Abidjan</t>
  </si>
  <si>
    <t>Mbarara</t>
  </si>
  <si>
    <t>Nansana-Kampala</t>
  </si>
  <si>
    <t>Nateete-Kampala</t>
  </si>
  <si>
    <t>Niamana-Bamako</t>
  </si>
  <si>
    <t>Ntinda-Kampala</t>
  </si>
  <si>
    <t>Parakou</t>
  </si>
  <si>
    <t>Patte d'oie-Ouaga</t>
  </si>
  <si>
    <t>PK10-Cotonou</t>
  </si>
  <si>
    <t>Port Bouet-Abidjan</t>
  </si>
  <si>
    <t>Porto Novo</t>
  </si>
  <si>
    <t>Saaba-Ouaga</t>
  </si>
  <si>
    <t>Saint Michel-Cotonou</t>
  </si>
  <si>
    <t>San Pedro</t>
  </si>
  <si>
    <t>Sankaryaare-Ouaga</t>
  </si>
  <si>
    <t>Sebenikoro-Bamako</t>
  </si>
  <si>
    <t>Segbe-Lome</t>
  </si>
  <si>
    <t>Sikasso</t>
  </si>
  <si>
    <t>Sotuba-Bamako</t>
  </si>
  <si>
    <t>Soubre</t>
  </si>
  <si>
    <t>Tampouy-Ouaga</t>
  </si>
  <si>
    <t>Tiebani-Bamako</t>
  </si>
  <si>
    <t>Tokoin Seminaire-Lome</t>
  </si>
  <si>
    <t>Totsi-Lome</t>
  </si>
  <si>
    <t>Treichville-Abidjan</t>
  </si>
  <si>
    <t>Vedoko-Cotonou</t>
  </si>
  <si>
    <t>VEL</t>
  </si>
  <si>
    <t>Wandegeya-Kampala</t>
  </si>
  <si>
    <t>Yop Ficgayo-Abidjan</t>
  </si>
  <si>
    <t>Yop Maroc-Abidjan</t>
  </si>
  <si>
    <t>Yop Nouveau Quartier</t>
  </si>
  <si>
    <t>Zana-Kampala</t>
  </si>
  <si>
    <t>Zerny-Bamako</t>
  </si>
  <si>
    <t>Tenkodogo</t>
  </si>
  <si>
    <t>Kara</t>
  </si>
  <si>
    <t>Yamoussoukro</t>
  </si>
  <si>
    <t>Entebbe</t>
  </si>
  <si>
    <t>Kaya</t>
  </si>
  <si>
    <t>Anyama-Abidjan</t>
  </si>
  <si>
    <t>Belleville-Abidjan</t>
  </si>
  <si>
    <t>Daloa</t>
  </si>
  <si>
    <t>Divo</t>
  </si>
  <si>
    <t>Bietry-Abidjan</t>
  </si>
  <si>
    <t>Ouaga 2000</t>
  </si>
  <si>
    <t>Sokode</t>
  </si>
  <si>
    <t>Buguruni-Dar</t>
  </si>
  <si>
    <t>TZ</t>
  </si>
  <si>
    <t>Jet deau-Dakar</t>
  </si>
  <si>
    <t>SN</t>
  </si>
  <si>
    <t>Grand Yoff-Dakar</t>
  </si>
  <si>
    <t>Agdal-Rabat</t>
  </si>
  <si>
    <t>MA</t>
  </si>
  <si>
    <t>Centre-Rabat</t>
  </si>
  <si>
    <t>Derb Ghaleff-Casablanca</t>
  </si>
  <si>
    <t>Qods-Casablanca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</si>
</sst>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4" fontId="1" fillId="2" borderId="1" xfId="0" applyNumberFormat="1" applyFont="1" applyFill="1" applyBorder="1"/>
    <xf numFmtId="0" fontId="2" fillId="0" borderId="0" xfId="0" applyFont="1"/>
    <xf numFmtId="3" fontId="2" fillId="0" borderId="2" xfId="0" applyNumberFormat="1" applyFont="1" applyBorder="1"/>
    <xf numFmtId="3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1">
    <dxf>
      <fill>
        <patternFill patternType="solid">
          <fgColor rgb="FFC9DAF8"/>
          <bgColor rgb="FFC9DA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092"/>
  <sheetViews>
    <sheetView showGridLines="0" tabSelected="1" topLeftCell="I1" workbookViewId="0">
      <selection activeCell="Y18" sqref="Y18"/>
    </sheetView>
  </sheetViews>
  <sheetFormatPr baseColWidth="10" defaultColWidth="12.6640625" defaultRowHeight="15.75" customHeight="1" x14ac:dyDescent="0.15"/>
  <cols>
    <col min="1" max="1" width="19.6640625" customWidth="1"/>
    <col min="2" max="2" width="7.33203125" customWidth="1"/>
    <col min="3" max="6" width="10.1640625" bestFit="1" customWidth="1"/>
    <col min="7" max="12" width="9.5" customWidth="1"/>
    <col min="13" max="13" width="9.33203125" customWidth="1"/>
    <col min="14" max="22" width="9.5" customWidth="1"/>
    <col min="23" max="32" width="11.33203125" customWidth="1"/>
    <col min="33" max="33" width="11.5" customWidth="1"/>
    <col min="34" max="34" width="11.33203125" customWidth="1"/>
    <col min="35" max="35" width="16.83203125" customWidth="1"/>
    <col min="36" max="36" width="17.5" customWidth="1"/>
  </cols>
  <sheetData>
    <row r="1" spans="1:36" ht="13" x14ac:dyDescent="0.15">
      <c r="A1" s="1" t="s">
        <v>0</v>
      </c>
      <c r="B1" s="1" t="s">
        <v>1</v>
      </c>
      <c r="C1" s="2">
        <v>44927</v>
      </c>
      <c r="D1" s="2">
        <v>44958</v>
      </c>
      <c r="E1" s="2">
        <v>44986</v>
      </c>
      <c r="F1" s="2">
        <v>45017</v>
      </c>
      <c r="G1" s="2">
        <v>45047</v>
      </c>
      <c r="H1" s="2">
        <v>45078</v>
      </c>
      <c r="I1" s="2">
        <v>45108</v>
      </c>
      <c r="J1" s="2">
        <v>45139</v>
      </c>
      <c r="K1" s="2">
        <v>45170</v>
      </c>
      <c r="L1" s="2">
        <v>45200</v>
      </c>
      <c r="M1" s="2">
        <v>45231</v>
      </c>
      <c r="N1" s="2">
        <v>45261</v>
      </c>
      <c r="O1" s="2">
        <v>45292</v>
      </c>
      <c r="P1" s="2">
        <v>45323</v>
      </c>
      <c r="Q1" s="2">
        <v>45352</v>
      </c>
      <c r="R1" s="2">
        <v>45383</v>
      </c>
      <c r="S1" s="2">
        <v>45413</v>
      </c>
      <c r="T1" s="2">
        <v>45444</v>
      </c>
      <c r="U1" s="2">
        <v>45474</v>
      </c>
      <c r="V1" s="2">
        <v>45505</v>
      </c>
      <c r="W1" s="2">
        <v>45536</v>
      </c>
      <c r="X1" s="2">
        <v>45566</v>
      </c>
      <c r="Y1" s="2">
        <v>45597</v>
      </c>
      <c r="Z1" s="2">
        <v>45627</v>
      </c>
      <c r="AA1" s="2">
        <v>45658</v>
      </c>
      <c r="AB1" s="2">
        <v>45689</v>
      </c>
      <c r="AC1" s="2">
        <v>45717</v>
      </c>
      <c r="AD1" s="2">
        <v>45748</v>
      </c>
      <c r="AE1" s="2">
        <v>45778</v>
      </c>
      <c r="AF1" s="2">
        <v>45809</v>
      </c>
      <c r="AG1" s="2">
        <v>45839</v>
      </c>
      <c r="AH1" s="2" t="s">
        <v>2</v>
      </c>
      <c r="AI1" s="3" t="s">
        <v>3</v>
      </c>
      <c r="AJ1" s="3" t="s">
        <v>4</v>
      </c>
    </row>
    <row r="2" spans="1:36" ht="13" x14ac:dyDescent="0.15">
      <c r="A2" s="3" t="s">
        <v>5</v>
      </c>
      <c r="B2" s="3" t="s">
        <v>6</v>
      </c>
      <c r="C2" s="4">
        <v>15408.271092182778</v>
      </c>
      <c r="D2" s="4">
        <v>12338.251759480756</v>
      </c>
      <c r="E2" s="4">
        <v>11173.914772032</v>
      </c>
      <c r="F2" s="4">
        <v>9766.1077166339765</v>
      </c>
      <c r="G2" s="4">
        <v>11682.687251574278</v>
      </c>
      <c r="H2" s="4">
        <v>10619.729306970839</v>
      </c>
      <c r="I2" s="4">
        <v>11497.103695884838</v>
      </c>
      <c r="J2" s="4">
        <v>12735.654541649323</v>
      </c>
      <c r="K2" s="4">
        <v>14723.423327925746</v>
      </c>
      <c r="L2" s="4">
        <v>14968.733720968768</v>
      </c>
      <c r="M2" s="4">
        <v>12980.263280446627</v>
      </c>
      <c r="N2" s="4">
        <v>11911.616422409645</v>
      </c>
      <c r="O2" s="4">
        <v>11982.279490310151</v>
      </c>
      <c r="P2" s="4">
        <v>12130.817043477246</v>
      </c>
      <c r="Q2" s="4">
        <v>12532.43956407396</v>
      </c>
      <c r="R2" s="4">
        <v>10138.759629550203</v>
      </c>
      <c r="S2" s="4">
        <v>11762.908095097608</v>
      </c>
      <c r="T2" s="4">
        <v>10722.261547328646</v>
      </c>
      <c r="U2" s="4">
        <v>15796.70314</v>
      </c>
      <c r="V2" s="4">
        <v>13835.427056074799</v>
      </c>
      <c r="W2" s="4">
        <v>16036.810635402349</v>
      </c>
      <c r="X2" s="4">
        <v>17330.527640806362</v>
      </c>
      <c r="Y2" s="4">
        <v>13947.380385119501</v>
      </c>
      <c r="Z2" s="4">
        <v>14828.751540012074</v>
      </c>
      <c r="AA2" s="4">
        <v>15907.887548316365</v>
      </c>
      <c r="AB2" s="4">
        <v>14979.546752333754</v>
      </c>
      <c r="AC2" s="4">
        <v>16184.848660572938</v>
      </c>
      <c r="AD2" s="4">
        <v>16168.11075037065</v>
      </c>
      <c r="AE2" s="4">
        <v>15623.505307161658</v>
      </c>
      <c r="AF2" s="4">
        <v>16612.273968759659</v>
      </c>
      <c r="AG2" s="5">
        <v>20304.323312744993</v>
      </c>
      <c r="AH2" s="4">
        <f t="shared" ref="AH2:AH106" si="0">SUM(C2:AG2)</f>
        <v>426631.31895567256</v>
      </c>
      <c r="AI2" s="3">
        <f t="shared" ref="AI2:AI102" si="1">COUNTA(C2:AG2)</f>
        <v>31</v>
      </c>
      <c r="AJ2" s="4">
        <f t="shared" ref="AJ2:AJ102" si="2">AH2/AI2</f>
        <v>13762.300611473309</v>
      </c>
    </row>
    <row r="3" spans="1:36" ht="13" x14ac:dyDescent="0.15">
      <c r="A3" s="3" t="s">
        <v>7</v>
      </c>
      <c r="B3" s="3" t="s">
        <v>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>
        <v>3859.3957969187431</v>
      </c>
      <c r="R3" s="4">
        <v>3050.9953830921177</v>
      </c>
      <c r="S3" s="4">
        <v>3900.5594390278147</v>
      </c>
      <c r="T3" s="4">
        <v>5353.4977678416881</v>
      </c>
      <c r="U3" s="4">
        <v>6893.2073270000001</v>
      </c>
      <c r="V3" s="4">
        <v>7048.206155591728</v>
      </c>
      <c r="W3" s="4">
        <v>7338.430308868119</v>
      </c>
      <c r="X3" s="4">
        <v>7600.7606927833958</v>
      </c>
      <c r="Y3" s="4">
        <v>6500.2708249986672</v>
      </c>
      <c r="Z3" s="4">
        <v>6776.8517250417181</v>
      </c>
      <c r="AA3" s="4">
        <v>6885.7625072644623</v>
      </c>
      <c r="AB3" s="4">
        <v>6234.2140537458363</v>
      </c>
      <c r="AC3" s="4">
        <v>10083.781710772588</v>
      </c>
      <c r="AD3" s="4">
        <v>9375.9637154458214</v>
      </c>
      <c r="AE3" s="4">
        <v>8632.0090316365331</v>
      </c>
      <c r="AF3" s="4">
        <v>9083.4125457072205</v>
      </c>
      <c r="AG3" s="5">
        <v>11015.26864779316</v>
      </c>
      <c r="AH3" s="4">
        <f t="shared" si="0"/>
        <v>119632.58763352962</v>
      </c>
      <c r="AI3" s="3">
        <f t="shared" si="1"/>
        <v>17</v>
      </c>
      <c r="AJ3" s="4">
        <f t="shared" si="2"/>
        <v>7037.2110372664483</v>
      </c>
    </row>
    <row r="4" spans="1:36" ht="16.5" customHeight="1" x14ac:dyDescent="0.15">
      <c r="A4" s="3" t="s">
        <v>8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>
        <v>3963.1002224044455</v>
      </c>
      <c r="R4" s="4">
        <v>5008.1501776835867</v>
      </c>
      <c r="S4" s="4">
        <v>3091.2482369914937</v>
      </c>
      <c r="T4" s="4">
        <v>5282.4734382408724</v>
      </c>
      <c r="U4" s="4">
        <v>5861.1314949999996</v>
      </c>
      <c r="V4" s="4">
        <v>4608.2016286804328</v>
      </c>
      <c r="W4" s="4">
        <v>6770.1703358358081</v>
      </c>
      <c r="X4" s="4">
        <v>7437.9694943541708</v>
      </c>
      <c r="Y4" s="4">
        <v>8075.1431478067043</v>
      </c>
      <c r="Z4" s="4">
        <v>6545.3305927930414</v>
      </c>
      <c r="AA4" s="4">
        <v>7839.9932850109171</v>
      </c>
      <c r="AB4" s="4">
        <v>7289.0889787795923</v>
      </c>
      <c r="AC4" s="4">
        <v>6441.4615366371545</v>
      </c>
      <c r="AD4" s="4">
        <v>5971.3957907415215</v>
      </c>
      <c r="AE4" s="4">
        <v>6415.6056809355059</v>
      </c>
      <c r="AF4" s="4">
        <v>5005.860280130204</v>
      </c>
      <c r="AG4" s="5">
        <v>4913.8630220836949</v>
      </c>
      <c r="AH4" s="4">
        <f t="shared" si="0"/>
        <v>100520.18734410914</v>
      </c>
      <c r="AI4" s="3">
        <f t="shared" si="1"/>
        <v>17</v>
      </c>
      <c r="AJ4" s="4">
        <f t="shared" si="2"/>
        <v>5912.9521967123028</v>
      </c>
    </row>
    <row r="5" spans="1:36" ht="13" x14ac:dyDescent="0.15">
      <c r="A5" s="3" t="s">
        <v>9</v>
      </c>
      <c r="B5" s="3" t="s">
        <v>6</v>
      </c>
      <c r="C5" s="4">
        <v>7492.9428424910184</v>
      </c>
      <c r="D5" s="4">
        <v>5963.6238357505454</v>
      </c>
      <c r="E5" s="4">
        <v>5095.1003044217368</v>
      </c>
      <c r="F5" s="4">
        <v>4534.3528037730939</v>
      </c>
      <c r="G5" s="4">
        <v>4566.9550940621011</v>
      </c>
      <c r="H5" s="4">
        <v>3806.1673130160657</v>
      </c>
      <c r="I5" s="4">
        <v>5819.0342567040097</v>
      </c>
      <c r="J5" s="4">
        <v>4484.9906075069239</v>
      </c>
      <c r="K5" s="4">
        <v>3864.925682899041</v>
      </c>
      <c r="L5" s="4">
        <v>5084.3190461041931</v>
      </c>
      <c r="M5" s="4">
        <v>4797.7320066873199</v>
      </c>
      <c r="N5" s="4">
        <v>3010.4827666050246</v>
      </c>
      <c r="O5" s="4">
        <v>3646.9329635784698</v>
      </c>
      <c r="P5" s="4">
        <v>2869.3601980945004</v>
      </c>
      <c r="Q5" s="4">
        <v>2997.092682253865</v>
      </c>
      <c r="R5" s="4">
        <v>3814.4646995233916</v>
      </c>
      <c r="S5" s="4">
        <v>1862.3618503347368</v>
      </c>
      <c r="T5" s="4">
        <v>3767.8825701091564</v>
      </c>
      <c r="U5" s="4">
        <v>6235.8715679999996</v>
      </c>
      <c r="V5" s="4">
        <v>6731.3974389859723</v>
      </c>
      <c r="W5" s="4">
        <v>6923.7969915216099</v>
      </c>
      <c r="X5" s="4">
        <v>8126.109333063876</v>
      </c>
      <c r="Y5" s="4">
        <v>7714.3993377312827</v>
      </c>
      <c r="Z5" s="4">
        <v>6666.6725407249423</v>
      </c>
      <c r="AA5" s="4">
        <v>6708.2249964407683</v>
      </c>
      <c r="AB5" s="4">
        <v>5741.2668652220445</v>
      </c>
      <c r="AC5" s="4">
        <v>4939.072642514423</v>
      </c>
      <c r="AD5" s="4">
        <v>7337.3975799230193</v>
      </c>
      <c r="AE5" s="4">
        <v>6178.9520484973082</v>
      </c>
      <c r="AF5" s="4">
        <v>6955.9538654572061</v>
      </c>
      <c r="AG5" s="5">
        <v>7160.5716670835282</v>
      </c>
      <c r="AH5" s="4">
        <f t="shared" si="0"/>
        <v>164898.40839908121</v>
      </c>
      <c r="AI5" s="3">
        <f t="shared" si="1"/>
        <v>31</v>
      </c>
      <c r="AJ5" s="4">
        <f t="shared" si="2"/>
        <v>5319.3034967445546</v>
      </c>
    </row>
    <row r="6" spans="1:36" ht="13" x14ac:dyDescent="0.15">
      <c r="A6" s="3" t="s">
        <v>10</v>
      </c>
      <c r="B6" s="3" t="s">
        <v>11</v>
      </c>
      <c r="C6" s="4">
        <v>3055.1503151120091</v>
      </c>
      <c r="D6" s="4">
        <v>6485.5141843913798</v>
      </c>
      <c r="E6" s="4">
        <v>8048.9654106817998</v>
      </c>
      <c r="F6" s="4">
        <v>5660.7797662138828</v>
      </c>
      <c r="G6" s="4">
        <v>8015.6662681684602</v>
      </c>
      <c r="H6" s="4">
        <v>5303.7068920915654</v>
      </c>
      <c r="I6" s="4">
        <v>5891.3734507730896</v>
      </c>
      <c r="J6" s="4">
        <v>6961.7117499307087</v>
      </c>
      <c r="K6" s="4">
        <v>7752.3431664829131</v>
      </c>
      <c r="L6" s="4">
        <v>8906.7939165494354</v>
      </c>
      <c r="M6" s="4">
        <v>6969.0503238010469</v>
      </c>
      <c r="N6" s="4">
        <v>5947.7008606183272</v>
      </c>
      <c r="O6" s="4">
        <v>8428.268482351119</v>
      </c>
      <c r="P6" s="4">
        <v>8184.8660312585507</v>
      </c>
      <c r="Q6" s="4">
        <v>7008.5051665559895</v>
      </c>
      <c r="R6" s="4">
        <v>5959.4666774498319</v>
      </c>
      <c r="S6" s="4">
        <v>5034.2484169495301</v>
      </c>
      <c r="T6" s="4">
        <v>5432.1182211440664</v>
      </c>
      <c r="U6" s="4">
        <v>8958.0972170000005</v>
      </c>
      <c r="V6" s="4">
        <v>10662.067395384669</v>
      </c>
      <c r="W6" s="4">
        <v>9002.9998804346797</v>
      </c>
      <c r="X6" s="4">
        <v>11342.773486260628</v>
      </c>
      <c r="Y6" s="4">
        <v>13054.011228688978</v>
      </c>
      <c r="Z6" s="4">
        <v>13812.816109732517</v>
      </c>
      <c r="AA6" s="4">
        <v>13271.907264903708</v>
      </c>
      <c r="AB6" s="4">
        <v>11699.81373130765</v>
      </c>
      <c r="AC6" s="4">
        <v>11290.194538635313</v>
      </c>
      <c r="AD6" s="4">
        <v>16461.963343180832</v>
      </c>
      <c r="AE6" s="4">
        <v>14512.205611656833</v>
      </c>
      <c r="AF6" s="4">
        <v>14088.423720048388</v>
      </c>
      <c r="AG6" s="5">
        <v>16660.217779972536</v>
      </c>
      <c r="AH6" s="4">
        <f t="shared" si="0"/>
        <v>283863.72060773044</v>
      </c>
      <c r="AI6" s="3">
        <f t="shared" si="1"/>
        <v>31</v>
      </c>
      <c r="AJ6" s="4">
        <f t="shared" si="2"/>
        <v>9156.8942131525946</v>
      </c>
    </row>
    <row r="7" spans="1:36" ht="13" x14ac:dyDescent="0.15">
      <c r="A7" s="3" t="s">
        <v>12</v>
      </c>
      <c r="B7" s="3" t="s">
        <v>13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>
        <v>1272.8968852732517</v>
      </c>
      <c r="P7" s="4">
        <v>5799.34451931691</v>
      </c>
      <c r="Q7" s="4">
        <v>4284.2412874701877</v>
      </c>
      <c r="R7" s="4">
        <v>5543.5818814314716</v>
      </c>
      <c r="S7" s="4">
        <v>4566.4504712023827</v>
      </c>
      <c r="T7" s="4">
        <v>4786.5490908335623</v>
      </c>
      <c r="U7" s="4">
        <v>4973.474526</v>
      </c>
      <c r="V7" s="4">
        <v>4870.6702641492457</v>
      </c>
      <c r="W7" s="4">
        <v>5339.9661186813419</v>
      </c>
      <c r="X7" s="4">
        <v>5443.6860133963719</v>
      </c>
      <c r="Y7" s="4">
        <v>5151.901016817108</v>
      </c>
      <c r="Z7" s="4">
        <v>3328.4799246077391</v>
      </c>
      <c r="AA7" s="4">
        <v>5026.2864765947807</v>
      </c>
      <c r="AB7" s="4">
        <v>4010.8017050728772</v>
      </c>
      <c r="AC7" s="4">
        <v>4864.0944654420355</v>
      </c>
      <c r="AD7" s="4">
        <v>4993.9140242444464</v>
      </c>
      <c r="AE7" s="4">
        <v>4851.1685045330223</v>
      </c>
      <c r="AF7" s="4">
        <v>4576.7819092742629</v>
      </c>
      <c r="AG7" s="5">
        <v>6934.0785716677956</v>
      </c>
      <c r="AH7" s="4">
        <f t="shared" si="0"/>
        <v>90618.367656008777</v>
      </c>
      <c r="AI7" s="3">
        <f t="shared" si="1"/>
        <v>19</v>
      </c>
      <c r="AJ7" s="4">
        <f t="shared" si="2"/>
        <v>4769.3877713688826</v>
      </c>
    </row>
    <row r="8" spans="1:36" ht="13" x14ac:dyDescent="0.15">
      <c r="A8" s="3" t="s">
        <v>14</v>
      </c>
      <c r="B8" s="3" t="s">
        <v>13</v>
      </c>
      <c r="C8" s="4">
        <v>8460.0371059102217</v>
      </c>
      <c r="D8" s="4">
        <v>9593.9237166455678</v>
      </c>
      <c r="E8" s="4">
        <v>13522.45792235917</v>
      </c>
      <c r="F8" s="4">
        <v>5355.4974551789319</v>
      </c>
      <c r="G8" s="4">
        <v>10038.16100185964</v>
      </c>
      <c r="H8" s="4">
        <v>8465.8709122769251</v>
      </c>
      <c r="I8" s="4">
        <v>8760.7494596301258</v>
      </c>
      <c r="J8" s="4">
        <v>7302.5098163695875</v>
      </c>
      <c r="K8" s="4">
        <v>7267.1155772304201</v>
      </c>
      <c r="L8" s="4">
        <v>8322.0312033327391</v>
      </c>
      <c r="M8" s="4">
        <v>6670.3414867648253</v>
      </c>
      <c r="N8" s="4">
        <v>7112.5589067153405</v>
      </c>
      <c r="O8" s="4">
        <v>6563.3273389143651</v>
      </c>
      <c r="P8" s="4">
        <v>5932.2343733935222</v>
      </c>
      <c r="Q8" s="4">
        <v>5239.8279974617571</v>
      </c>
      <c r="R8" s="4">
        <v>5915.0024767583282</v>
      </c>
      <c r="S8" s="4">
        <v>5413.8953858187515</v>
      </c>
      <c r="T8" s="4">
        <v>6926.5612374639932</v>
      </c>
      <c r="U8" s="4">
        <v>8591.2100859999991</v>
      </c>
      <c r="V8" s="4">
        <v>8693.3787965828451</v>
      </c>
      <c r="W8" s="4">
        <v>7836.0431483244738</v>
      </c>
      <c r="X8" s="4">
        <v>8313.7151844218351</v>
      </c>
      <c r="Y8" s="4">
        <v>7615.0185537970992</v>
      </c>
      <c r="Z8" s="4">
        <v>6352.313426644665</v>
      </c>
      <c r="AA8" s="4">
        <v>8717.2129310418295</v>
      </c>
      <c r="AB8" s="4">
        <v>6987.1011431411562</v>
      </c>
      <c r="AC8" s="4">
        <v>9016.4959304637541</v>
      </c>
      <c r="AD8" s="4">
        <v>8332.0539746723753</v>
      </c>
      <c r="AE8" s="4">
        <v>8708.1069345765463</v>
      </c>
      <c r="AF8" s="4">
        <v>6965.3218947513114</v>
      </c>
      <c r="AG8" s="5">
        <v>8546.5525467954012</v>
      </c>
      <c r="AH8" s="4">
        <f t="shared" si="0"/>
        <v>241536.62792529748</v>
      </c>
      <c r="AI8" s="3">
        <f t="shared" si="1"/>
        <v>31</v>
      </c>
      <c r="AJ8" s="4">
        <f t="shared" si="2"/>
        <v>7791.5041266224989</v>
      </c>
    </row>
    <row r="9" spans="1:36" ht="13" x14ac:dyDescent="0.15">
      <c r="A9" s="3" t="s">
        <v>15</v>
      </c>
      <c r="B9" s="3" t="s">
        <v>13</v>
      </c>
      <c r="C9" s="4">
        <v>13698.410585930274</v>
      </c>
      <c r="D9" s="4">
        <v>12962.036026067324</v>
      </c>
      <c r="E9" s="4">
        <v>11926.610119605861</v>
      </c>
      <c r="F9" s="4">
        <v>9010.9647869944802</v>
      </c>
      <c r="G9" s="4">
        <v>9895.4263999895229</v>
      </c>
      <c r="H9" s="4">
        <v>8696.0347658433075</v>
      </c>
      <c r="I9" s="4">
        <v>7044.9340851429806</v>
      </c>
      <c r="J9" s="4">
        <v>7908.4960133943823</v>
      </c>
      <c r="K9" s="4">
        <v>8563.6162555938263</v>
      </c>
      <c r="L9" s="4">
        <v>9165.444307005373</v>
      </c>
      <c r="M9" s="4">
        <v>7881.2579721399643</v>
      </c>
      <c r="N9" s="4">
        <v>5862.9513288765538</v>
      </c>
      <c r="O9" s="4">
        <v>7217.2552392591979</v>
      </c>
      <c r="P9" s="4">
        <v>5795.1539939117238</v>
      </c>
      <c r="Q9" s="4">
        <v>6387.0936384864208</v>
      </c>
      <c r="R9" s="4">
        <v>7101.5646251626385</v>
      </c>
      <c r="S9" s="4">
        <v>6385.1721116367471</v>
      </c>
      <c r="T9" s="4">
        <v>7451.0945278427171</v>
      </c>
      <c r="U9" s="4">
        <v>10171.34173</v>
      </c>
      <c r="V9" s="4">
        <v>9414.5762614827363</v>
      </c>
      <c r="W9" s="4">
        <v>8868.6774295605755</v>
      </c>
      <c r="X9" s="4">
        <v>10094.536579619366</v>
      </c>
      <c r="Y9" s="4">
        <v>9988.3770478973311</v>
      </c>
      <c r="Z9" s="4">
        <v>9803.6475826813603</v>
      </c>
      <c r="AA9" s="4">
        <v>12505.503770890951</v>
      </c>
      <c r="AB9" s="4">
        <v>10822.59420867078</v>
      </c>
      <c r="AC9" s="4">
        <v>12229.801225246212</v>
      </c>
      <c r="AD9" s="4">
        <v>12375.824151543718</v>
      </c>
      <c r="AE9" s="4">
        <v>11827.826775397823</v>
      </c>
      <c r="AF9" s="4">
        <v>12980.270047933476</v>
      </c>
      <c r="AG9" s="5">
        <v>15289.481705470434</v>
      </c>
      <c r="AH9" s="4">
        <f t="shared" si="0"/>
        <v>299325.9752992781</v>
      </c>
      <c r="AI9" s="3">
        <f t="shared" si="1"/>
        <v>31</v>
      </c>
      <c r="AJ9" s="4">
        <f t="shared" si="2"/>
        <v>9655.6766225573574</v>
      </c>
    </row>
    <row r="10" spans="1:36" ht="13" x14ac:dyDescent="0.15">
      <c r="A10" s="3" t="s">
        <v>16</v>
      </c>
      <c r="B10" s="3" t="s">
        <v>17</v>
      </c>
      <c r="C10" s="4">
        <v>4395.5606290747482</v>
      </c>
      <c r="D10" s="4">
        <v>6358.5468938135291</v>
      </c>
      <c r="E10" s="4">
        <v>4461.6517901483803</v>
      </c>
      <c r="F10" s="4">
        <v>4823.083637687645</v>
      </c>
      <c r="G10" s="4">
        <v>6281.3173295342549</v>
      </c>
      <c r="H10" s="4">
        <v>4643.6723468927794</v>
      </c>
      <c r="I10" s="4">
        <v>4357.2186223973331</v>
      </c>
      <c r="J10" s="4">
        <v>5561.0736277495571</v>
      </c>
      <c r="K10" s="4">
        <v>4270.6488406737981</v>
      </c>
      <c r="L10" s="4">
        <v>5294.9516250208353</v>
      </c>
      <c r="M10" s="4">
        <v>5645.5393211963546</v>
      </c>
      <c r="N10" s="4">
        <v>4235.4809661916834</v>
      </c>
      <c r="O10" s="4">
        <v>3716.5771624729641</v>
      </c>
      <c r="P10" s="4">
        <v>4095.9211645293062</v>
      </c>
      <c r="Q10" s="4">
        <v>3495.890812280611</v>
      </c>
      <c r="R10" s="4">
        <v>3346.7722013749531</v>
      </c>
      <c r="S10" s="4">
        <v>2959.8790668922488</v>
      </c>
      <c r="T10" s="4">
        <v>3663.0948617004751</v>
      </c>
      <c r="U10" s="4">
        <v>4428.99683</v>
      </c>
      <c r="V10" s="4">
        <v>4162.6818210096344</v>
      </c>
      <c r="W10" s="4">
        <v>5168.963412340484</v>
      </c>
      <c r="X10" s="4">
        <v>5969.8466715649711</v>
      </c>
      <c r="Y10" s="4">
        <v>3658.4888928711648</v>
      </c>
      <c r="Z10" s="4">
        <v>3460.1512825399682</v>
      </c>
      <c r="AA10" s="4">
        <v>4200.0242438093837</v>
      </c>
      <c r="AB10" s="4">
        <v>3842.5842391985907</v>
      </c>
      <c r="AC10" s="4">
        <v>4513.0963423785115</v>
      </c>
      <c r="AD10" s="4">
        <v>4545.2687913317559</v>
      </c>
      <c r="AE10" s="4">
        <v>5381.7284143886882</v>
      </c>
      <c r="AF10" s="4">
        <v>6138.5855607895055</v>
      </c>
      <c r="AG10" s="5">
        <v>6995.7594049904392</v>
      </c>
      <c r="AH10" s="4">
        <f t="shared" si="0"/>
        <v>144073.05680684457</v>
      </c>
      <c r="AI10" s="3">
        <f t="shared" si="1"/>
        <v>31</v>
      </c>
      <c r="AJ10" s="4">
        <f t="shared" si="2"/>
        <v>4647.5179615111156</v>
      </c>
    </row>
    <row r="11" spans="1:36" ht="13" x14ac:dyDescent="0.15">
      <c r="A11" s="3" t="s">
        <v>18</v>
      </c>
      <c r="B11" s="3" t="s">
        <v>17</v>
      </c>
      <c r="C11" s="4">
        <v>5852.3419207405041</v>
      </c>
      <c r="D11" s="4">
        <v>7318.1555037715543</v>
      </c>
      <c r="E11" s="4">
        <v>7475.8531998279796</v>
      </c>
      <c r="F11" s="4">
        <v>5711.8225531879243</v>
      </c>
      <c r="G11" s="4">
        <v>6030.385279472358</v>
      </c>
      <c r="H11" s="4">
        <v>4448.2833721945653</v>
      </c>
      <c r="I11" s="4">
        <v>5661.626635823307</v>
      </c>
      <c r="J11" s="4">
        <v>6282.6074265173902</v>
      </c>
      <c r="K11" s="4">
        <v>6112.8402826063702</v>
      </c>
      <c r="L11" s="4">
        <v>6208.4360427954489</v>
      </c>
      <c r="M11" s="4">
        <v>6919.1474184460294</v>
      </c>
      <c r="N11" s="4">
        <v>5588.7194098372165</v>
      </c>
      <c r="O11" s="4">
        <v>4135.3505565867499</v>
      </c>
      <c r="P11" s="4">
        <v>4600.9673023491496</v>
      </c>
      <c r="Q11" s="4">
        <v>3690.7216378374424</v>
      </c>
      <c r="R11" s="4">
        <v>3483.9025789608613</v>
      </c>
      <c r="S11" s="4">
        <v>5090.1265620071481</v>
      </c>
      <c r="T11" s="4">
        <v>3867.2785471799571</v>
      </c>
      <c r="U11" s="4">
        <v>6421.493461</v>
      </c>
      <c r="V11" s="4">
        <v>4694.5821845556884</v>
      </c>
      <c r="W11" s="4">
        <v>5465.3722252147136</v>
      </c>
      <c r="X11" s="4">
        <v>6448.5291803159935</v>
      </c>
      <c r="Y11" s="4">
        <v>6929.3370342296939</v>
      </c>
      <c r="Z11" s="4">
        <v>5014.8551403165675</v>
      </c>
      <c r="AA11" s="4">
        <v>4941.3513663706799</v>
      </c>
      <c r="AB11" s="4">
        <v>4578.0056146374745</v>
      </c>
      <c r="AC11" s="4">
        <v>5935.3889529902854</v>
      </c>
      <c r="AD11" s="4">
        <v>6456.3556268001603</v>
      </c>
      <c r="AE11" s="4">
        <v>8299.0827149185443</v>
      </c>
      <c r="AF11" s="4">
        <v>8425.1022165730392</v>
      </c>
      <c r="AG11" s="5">
        <v>8417.5460112264063</v>
      </c>
      <c r="AH11" s="4">
        <f t="shared" si="0"/>
        <v>180505.56795929119</v>
      </c>
      <c r="AI11" s="3">
        <f t="shared" si="1"/>
        <v>31</v>
      </c>
      <c r="AJ11" s="4">
        <f t="shared" si="2"/>
        <v>5822.7602567513286</v>
      </c>
    </row>
    <row r="12" spans="1:36" ht="13" x14ac:dyDescent="0.15">
      <c r="A12" s="3" t="s">
        <v>19</v>
      </c>
      <c r="B12" s="3" t="s">
        <v>6</v>
      </c>
      <c r="C12" s="4">
        <v>10293.280816583288</v>
      </c>
      <c r="D12" s="4">
        <v>9108.0868956468676</v>
      </c>
      <c r="E12" s="4">
        <v>8208.8286903869412</v>
      </c>
      <c r="F12" s="4">
        <v>8165.2006607102376</v>
      </c>
      <c r="G12" s="4">
        <v>8843.0595577150689</v>
      </c>
      <c r="H12" s="4">
        <v>8858.2990109626353</v>
      </c>
      <c r="I12" s="4">
        <v>8864.0761244543155</v>
      </c>
      <c r="J12" s="4">
        <v>10305.706115264691</v>
      </c>
      <c r="K12" s="4">
        <v>7664.3660232759185</v>
      </c>
      <c r="L12" s="4">
        <v>9175.5220532265685</v>
      </c>
      <c r="M12" s="4">
        <v>8484.6124668854645</v>
      </c>
      <c r="N12" s="4">
        <v>10020.89832595199</v>
      </c>
      <c r="O12" s="4">
        <v>9668.3417968097001</v>
      </c>
      <c r="P12" s="4">
        <v>7490.4584249301934</v>
      </c>
      <c r="Q12" s="4">
        <v>8960.0766051175506</v>
      </c>
      <c r="R12" s="4">
        <v>5093.8692898042573</v>
      </c>
      <c r="S12" s="4">
        <v>6099.1482415697174</v>
      </c>
      <c r="T12" s="4">
        <v>6345.1726794768365</v>
      </c>
      <c r="U12" s="4">
        <v>10246.48819</v>
      </c>
      <c r="V12" s="4">
        <v>12920.024666371934</v>
      </c>
      <c r="W12" s="4">
        <v>10236.287033342604</v>
      </c>
      <c r="X12" s="4">
        <v>11815.567129365165</v>
      </c>
      <c r="Y12" s="4">
        <v>11678.624771591667</v>
      </c>
      <c r="Z12" s="4">
        <v>11270.054731332068</v>
      </c>
      <c r="AA12" s="4">
        <v>10428.894463779337</v>
      </c>
      <c r="AB12" s="4">
        <v>11639.72375319668</v>
      </c>
      <c r="AC12" s="4">
        <v>12755.393820669227</v>
      </c>
      <c r="AD12" s="4">
        <v>12444.530851772275</v>
      </c>
      <c r="AE12" s="4">
        <v>12600.328304288738</v>
      </c>
      <c r="AF12" s="4">
        <v>13364.554170681777</v>
      </c>
      <c r="AG12" s="5">
        <v>14990.443890053964</v>
      </c>
      <c r="AH12" s="4">
        <f t="shared" si="0"/>
        <v>308039.91955521773</v>
      </c>
      <c r="AI12" s="3">
        <f t="shared" si="1"/>
        <v>31</v>
      </c>
      <c r="AJ12" s="4">
        <f t="shared" si="2"/>
        <v>9936.7715985554114</v>
      </c>
    </row>
    <row r="13" spans="1:36" ht="13" x14ac:dyDescent="0.15">
      <c r="A13" s="3" t="s">
        <v>20</v>
      </c>
      <c r="B13" s="3" t="s">
        <v>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>
        <v>2042.7419484158111</v>
      </c>
      <c r="R13" s="4">
        <v>3896.5575172921476</v>
      </c>
      <c r="S13" s="4">
        <v>4292.4645903077972</v>
      </c>
      <c r="T13" s="4">
        <v>3916.5362032966905</v>
      </c>
      <c r="U13" s="4">
        <v>4151.5661620000001</v>
      </c>
      <c r="V13" s="4">
        <v>4825.1190134245426</v>
      </c>
      <c r="W13" s="4">
        <v>5761.1686540555484</v>
      </c>
      <c r="X13" s="4">
        <v>5527.0811065428588</v>
      </c>
      <c r="Y13" s="4">
        <v>6817.1075391075092</v>
      </c>
      <c r="Z13" s="4">
        <v>5441.7072822679738</v>
      </c>
      <c r="AA13" s="4">
        <v>6457.4188306560436</v>
      </c>
      <c r="AB13" s="4">
        <v>6464.6062280335809</v>
      </c>
      <c r="AC13" s="4">
        <v>6757.6338186384601</v>
      </c>
      <c r="AD13" s="4">
        <v>6101.0989543653286</v>
      </c>
      <c r="AE13" s="4">
        <v>7285.4653207022311</v>
      </c>
      <c r="AF13" s="4">
        <v>7760.7815253705176</v>
      </c>
      <c r="AG13" s="5">
        <v>6698.3279925150155</v>
      </c>
      <c r="AH13" s="4">
        <f t="shared" si="0"/>
        <v>94197.382686992074</v>
      </c>
      <c r="AI13" s="3">
        <f t="shared" si="1"/>
        <v>17</v>
      </c>
      <c r="AJ13" s="4">
        <f t="shared" si="2"/>
        <v>5541.0225109995336</v>
      </c>
    </row>
    <row r="14" spans="1:36" ht="13" x14ac:dyDescent="0.15">
      <c r="A14" s="3" t="s">
        <v>21</v>
      </c>
      <c r="B14" s="3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>
        <v>1118.0531569180939</v>
      </c>
      <c r="R14" s="4">
        <v>3930.2923038857343</v>
      </c>
      <c r="S14" s="4">
        <v>4417.3235189461811</v>
      </c>
      <c r="T14" s="4">
        <v>4601.5814844108272</v>
      </c>
      <c r="U14" s="4">
        <v>6474.5511619999997</v>
      </c>
      <c r="V14" s="4">
        <v>6601.6900449199984</v>
      </c>
      <c r="W14" s="4">
        <v>4387.0325869233156</v>
      </c>
      <c r="X14" s="4">
        <v>6749.6490642038389</v>
      </c>
      <c r="Y14" s="4">
        <v>4877.2739521086642</v>
      </c>
      <c r="Z14" s="4">
        <v>2520.2179599188103</v>
      </c>
      <c r="AA14" s="4">
        <v>4833.5136256206551</v>
      </c>
      <c r="AB14" s="4">
        <v>3910.5597394841689</v>
      </c>
      <c r="AC14" s="4">
        <v>3754.0128822800466</v>
      </c>
      <c r="AD14" s="4">
        <v>3650.875501510011</v>
      </c>
      <c r="AE14" s="4">
        <v>3862.4142166560578</v>
      </c>
      <c r="AF14" s="4">
        <v>4770.8672427800957</v>
      </c>
      <c r="AG14" s="5">
        <v>2679.7697177382861</v>
      </c>
      <c r="AH14" s="4">
        <f t="shared" si="0"/>
        <v>73139.678160304771</v>
      </c>
      <c r="AI14" s="3">
        <f t="shared" si="1"/>
        <v>17</v>
      </c>
      <c r="AJ14" s="4">
        <f t="shared" si="2"/>
        <v>4302.3340094296927</v>
      </c>
    </row>
    <row r="15" spans="1:36" ht="13" x14ac:dyDescent="0.15">
      <c r="A15" s="3" t="s">
        <v>22</v>
      </c>
      <c r="B15" s="3" t="s">
        <v>13</v>
      </c>
      <c r="C15" s="4">
        <v>7644.0248739297122</v>
      </c>
      <c r="D15" s="4">
        <v>8996.1495338200275</v>
      </c>
      <c r="E15" s="4">
        <v>6498.5119233238047</v>
      </c>
      <c r="F15" s="4">
        <v>4119.394798963408</v>
      </c>
      <c r="G15" s="4">
        <v>6590.6575080477469</v>
      </c>
      <c r="H15" s="4">
        <v>7389.5179592084332</v>
      </c>
      <c r="I15" s="4">
        <v>6583.573217707396</v>
      </c>
      <c r="J15" s="4">
        <v>8961.0875587077298</v>
      </c>
      <c r="K15" s="4">
        <v>7358.9254387270994</v>
      </c>
      <c r="L15" s="4">
        <v>7365.0242700946401</v>
      </c>
      <c r="M15" s="4">
        <v>5788.4150116692426</v>
      </c>
      <c r="N15" s="4">
        <v>4383.50467107649</v>
      </c>
      <c r="O15" s="4">
        <v>6198.4779627393018</v>
      </c>
      <c r="P15" s="4">
        <v>6646.9605393895863</v>
      </c>
      <c r="Q15" s="4">
        <v>6402.5144545588173</v>
      </c>
      <c r="R15" s="4">
        <v>6512.2862956959425</v>
      </c>
      <c r="S15" s="4">
        <v>6185.7655420913015</v>
      </c>
      <c r="T15" s="4">
        <v>4652.7636826639382</v>
      </c>
      <c r="U15" s="4">
        <v>5915.0443889999997</v>
      </c>
      <c r="V15" s="4">
        <v>5936.0750818682645</v>
      </c>
      <c r="W15" s="4">
        <v>6493.3526216375612</v>
      </c>
      <c r="X15" s="4">
        <v>6731.0738338980609</v>
      </c>
      <c r="Y15" s="4">
        <v>4834.3040353313681</v>
      </c>
      <c r="Z15" s="4">
        <v>6786.7996023517944</v>
      </c>
      <c r="AA15" s="4">
        <v>7912.4513111386723</v>
      </c>
      <c r="AB15" s="4">
        <v>5582.4971878729466</v>
      </c>
      <c r="AC15" s="4">
        <v>6622.3190616470538</v>
      </c>
      <c r="AD15" s="4">
        <v>5126.3663578589085</v>
      </c>
      <c r="AE15" s="4">
        <v>6561.7546255242651</v>
      </c>
      <c r="AF15" s="4">
        <v>5687.1144395268975</v>
      </c>
      <c r="AG15" s="5">
        <v>6014.3771159296048</v>
      </c>
      <c r="AH15" s="4">
        <f t="shared" si="0"/>
        <v>198481.08490599997</v>
      </c>
      <c r="AI15" s="3">
        <f t="shared" si="1"/>
        <v>31</v>
      </c>
      <c r="AJ15" s="4">
        <f t="shared" si="2"/>
        <v>6402.6156421290316</v>
      </c>
    </row>
    <row r="16" spans="1:36" ht="13" x14ac:dyDescent="0.15">
      <c r="A16" s="3" t="s">
        <v>23</v>
      </c>
      <c r="B16" s="3" t="s">
        <v>11</v>
      </c>
      <c r="C16" s="4"/>
      <c r="D16" s="4">
        <v>654.22758899436201</v>
      </c>
      <c r="E16" s="4">
        <v>2485.2487355709063</v>
      </c>
      <c r="F16" s="4">
        <v>2353.0736301785837</v>
      </c>
      <c r="G16" s="4">
        <v>3273.4768136876924</v>
      </c>
      <c r="H16" s="4">
        <v>1822.7256716042414</v>
      </c>
      <c r="I16" s="4">
        <v>3051.1276276572412</v>
      </c>
      <c r="J16" s="4">
        <v>3113.1891214561333</v>
      </c>
      <c r="K16" s="4">
        <v>3481.9598040762576</v>
      </c>
      <c r="L16" s="4">
        <v>3161.3844061452928</v>
      </c>
      <c r="M16" s="4">
        <v>2878.3414946823259</v>
      </c>
      <c r="N16" s="4">
        <v>2088.0226425574979</v>
      </c>
      <c r="O16" s="4">
        <v>4022.1819651022779</v>
      </c>
      <c r="P16" s="4">
        <v>3226.5360863368383</v>
      </c>
      <c r="Q16" s="4">
        <v>3324.4410886997671</v>
      </c>
      <c r="R16" s="4">
        <v>2948.2456115637515</v>
      </c>
      <c r="S16" s="4">
        <v>2257.2393064309417</v>
      </c>
      <c r="T16" s="4">
        <v>2508.9320949780804</v>
      </c>
      <c r="U16" s="4">
        <v>2417.1653689999998</v>
      </c>
      <c r="V16" s="4">
        <v>3416.6929192224306</v>
      </c>
      <c r="W16" s="4">
        <v>2839.6763407101103</v>
      </c>
      <c r="X16" s="4">
        <v>2550.7065050801712</v>
      </c>
      <c r="Y16" s="4">
        <v>4014.0886035563726</v>
      </c>
      <c r="Z16" s="4">
        <v>4627.4171031506985</v>
      </c>
      <c r="AA16" s="4">
        <v>4032.7430323512799</v>
      </c>
      <c r="AB16" s="4">
        <v>3289.6251163980901</v>
      </c>
      <c r="AC16" s="4">
        <v>4183.4140479702537</v>
      </c>
      <c r="AD16" s="4">
        <v>6322.6572905305038</v>
      </c>
      <c r="AE16" s="4">
        <v>3626.4171067797488</v>
      </c>
      <c r="AF16" s="4">
        <v>3111.307828577837</v>
      </c>
      <c r="AG16" s="5">
        <v>4312.5593671682545</v>
      </c>
      <c r="AH16" s="4">
        <f t="shared" si="0"/>
        <v>95394.824320217929</v>
      </c>
      <c r="AI16" s="3">
        <f t="shared" si="1"/>
        <v>30</v>
      </c>
      <c r="AJ16" s="4">
        <f t="shared" si="2"/>
        <v>3179.8274773405979</v>
      </c>
    </row>
    <row r="17" spans="1:36" ht="13" x14ac:dyDescent="0.15">
      <c r="A17" s="3" t="s">
        <v>24</v>
      </c>
      <c r="B17" s="3" t="s">
        <v>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>
        <v>2062.5446690697877</v>
      </c>
      <c r="S17" s="4">
        <v>4236.0329272536392</v>
      </c>
      <c r="T17" s="4">
        <v>4940.3254457475578</v>
      </c>
      <c r="U17" s="4">
        <v>5296.1584080000002</v>
      </c>
      <c r="V17" s="4">
        <v>8338.6411692651182</v>
      </c>
      <c r="W17" s="4">
        <v>8275.0775159431614</v>
      </c>
      <c r="X17" s="4">
        <v>8200.840649900385</v>
      </c>
      <c r="Y17" s="4">
        <v>8091.5435485593243</v>
      </c>
      <c r="Z17" s="4">
        <v>8136.2720485028021</v>
      </c>
      <c r="AA17" s="4">
        <v>8698.3581705125816</v>
      </c>
      <c r="AB17" s="4">
        <v>8148.5597790777747</v>
      </c>
      <c r="AC17" s="4">
        <v>7054.5190857082716</v>
      </c>
      <c r="AD17" s="4">
        <v>10107.698281437551</v>
      </c>
      <c r="AE17" s="4">
        <v>8076.845326773212</v>
      </c>
      <c r="AF17" s="4">
        <v>7785.1101244769225</v>
      </c>
      <c r="AG17" s="5">
        <v>10211.008784025002</v>
      </c>
      <c r="AH17" s="4">
        <f t="shared" si="0"/>
        <v>117659.53593425309</v>
      </c>
      <c r="AI17" s="3">
        <f t="shared" si="1"/>
        <v>16</v>
      </c>
      <c r="AJ17" s="4">
        <f t="shared" si="2"/>
        <v>7353.7209958908179</v>
      </c>
    </row>
    <row r="18" spans="1:36" ht="13" x14ac:dyDescent="0.15">
      <c r="A18" s="3" t="s">
        <v>25</v>
      </c>
      <c r="B18" s="3" t="s">
        <v>13</v>
      </c>
      <c r="C18" s="4">
        <v>13111.877711121593</v>
      </c>
      <c r="D18" s="4">
        <v>13679.687774735627</v>
      </c>
      <c r="E18" s="4">
        <v>11241.442502653317</v>
      </c>
      <c r="F18" s="4">
        <v>8411.3228160687195</v>
      </c>
      <c r="G18" s="4">
        <v>12356.931771591726</v>
      </c>
      <c r="H18" s="4">
        <v>8599.3521530130838</v>
      </c>
      <c r="I18" s="4">
        <v>9681.3895880353994</v>
      </c>
      <c r="J18" s="4">
        <v>9774.7269866398874</v>
      </c>
      <c r="K18" s="4">
        <v>7238.9017497564464</v>
      </c>
      <c r="L18" s="4">
        <v>7178.1997281032245</v>
      </c>
      <c r="M18" s="4">
        <v>8282.9873028026796</v>
      </c>
      <c r="N18" s="4">
        <v>7111.7405317164639</v>
      </c>
      <c r="O18" s="4">
        <v>7129.0406328370464</v>
      </c>
      <c r="P18" s="4">
        <v>8228.6444136643167</v>
      </c>
      <c r="Q18" s="4">
        <v>6089.3508009566294</v>
      </c>
      <c r="R18" s="4">
        <v>6830.3938269470973</v>
      </c>
      <c r="S18" s="4">
        <v>7433.0857834295748</v>
      </c>
      <c r="T18" s="4">
        <v>7472.383201957824</v>
      </c>
      <c r="U18" s="4">
        <v>8893.9828280000002</v>
      </c>
      <c r="V18" s="4">
        <v>6679.7916760425796</v>
      </c>
      <c r="W18" s="4">
        <v>7966.2706401312271</v>
      </c>
      <c r="X18" s="4">
        <v>8585.5790467669594</v>
      </c>
      <c r="Y18" s="4">
        <v>8810.489674527138</v>
      </c>
      <c r="Z18" s="4">
        <v>6817.208867784846</v>
      </c>
      <c r="AA18" s="4">
        <v>10289.968271545818</v>
      </c>
      <c r="AB18" s="4">
        <v>6697.140313631141</v>
      </c>
      <c r="AC18" s="4">
        <v>9407.3005022073266</v>
      </c>
      <c r="AD18" s="4">
        <v>9134.7774412301515</v>
      </c>
      <c r="AE18" s="4">
        <v>7933.8133569664033</v>
      </c>
      <c r="AF18" s="4">
        <v>5629.4338158028422</v>
      </c>
      <c r="AG18" s="5">
        <v>9586.4288167611194</v>
      </c>
      <c r="AH18" s="4">
        <f t="shared" si="0"/>
        <v>266283.6445274282</v>
      </c>
      <c r="AI18" s="3">
        <f t="shared" si="1"/>
        <v>31</v>
      </c>
      <c r="AJ18" s="4">
        <f t="shared" si="2"/>
        <v>8589.7949847557484</v>
      </c>
    </row>
    <row r="19" spans="1:36" ht="13" x14ac:dyDescent="0.15">
      <c r="A19" s="3" t="s">
        <v>26</v>
      </c>
      <c r="B19" s="3" t="s">
        <v>27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>
        <v>1593.0161898486995</v>
      </c>
      <c r="T19" s="4">
        <v>4344.8777398379179</v>
      </c>
      <c r="U19" s="4">
        <v>6937.5791200000003</v>
      </c>
      <c r="V19" s="4">
        <v>4874.6804027097942</v>
      </c>
      <c r="W19" s="4">
        <v>6284.639785964644</v>
      </c>
      <c r="X19" s="4">
        <v>7389.2548844184666</v>
      </c>
      <c r="Y19" s="4">
        <v>12370.792510685791</v>
      </c>
      <c r="Z19" s="4">
        <v>8214.9733257098269</v>
      </c>
      <c r="AA19" s="4">
        <v>8583.9073034160083</v>
      </c>
      <c r="AB19" s="4">
        <v>6717.9218769991667</v>
      </c>
      <c r="AC19" s="4">
        <v>7705.475990167989</v>
      </c>
      <c r="AD19" s="4">
        <v>10520.941907517648</v>
      </c>
      <c r="AE19" s="4">
        <v>9333.895319031808</v>
      </c>
      <c r="AF19" s="4">
        <v>8730.3753819262201</v>
      </c>
      <c r="AG19" s="5">
        <v>10202.85321598319</v>
      </c>
      <c r="AH19" s="4">
        <f t="shared" si="0"/>
        <v>113805.1849542172</v>
      </c>
      <c r="AI19" s="3">
        <f t="shared" si="1"/>
        <v>15</v>
      </c>
      <c r="AJ19" s="4">
        <f t="shared" si="2"/>
        <v>7587.0123302811462</v>
      </c>
    </row>
    <row r="20" spans="1:36" ht="13" x14ac:dyDescent="0.15">
      <c r="A20" s="3" t="s">
        <v>28</v>
      </c>
      <c r="B20" s="3" t="s">
        <v>27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>
        <v>2548.4866228801579</v>
      </c>
      <c r="Q20" s="4">
        <v>5405.0612875464212</v>
      </c>
      <c r="R20" s="4">
        <v>4657.262735418406</v>
      </c>
      <c r="S20" s="4">
        <v>5248.9052655312689</v>
      </c>
      <c r="T20" s="4">
        <v>5401.1665874863957</v>
      </c>
      <c r="U20" s="4">
        <v>8686.4491409999991</v>
      </c>
      <c r="V20" s="4">
        <v>4866.3150644224488</v>
      </c>
      <c r="W20" s="4">
        <v>6626.2867545807621</v>
      </c>
      <c r="X20" s="4">
        <v>8410.1113932629196</v>
      </c>
      <c r="Y20" s="4">
        <v>6153.413190574176</v>
      </c>
      <c r="Z20" s="4">
        <v>6942.1136138643105</v>
      </c>
      <c r="AA20" s="4">
        <v>6351.5793831655155</v>
      </c>
      <c r="AB20" s="4">
        <v>7558.1026663234652</v>
      </c>
      <c r="AC20" s="4">
        <v>6089.9343043756535</v>
      </c>
      <c r="AD20" s="4">
        <v>8701.7357932901796</v>
      </c>
      <c r="AE20" s="4">
        <v>7227.9981076571075</v>
      </c>
      <c r="AF20" s="4">
        <v>10538.911685615176</v>
      </c>
      <c r="AG20" s="5">
        <v>9155.8888846133832</v>
      </c>
      <c r="AH20" s="4">
        <f t="shared" si="0"/>
        <v>120569.72248160775</v>
      </c>
      <c r="AI20" s="3">
        <f t="shared" si="1"/>
        <v>18</v>
      </c>
      <c r="AJ20" s="4">
        <f t="shared" si="2"/>
        <v>6698.317915644875</v>
      </c>
    </row>
    <row r="21" spans="1:36" ht="13" x14ac:dyDescent="0.15">
      <c r="A21" s="3" t="s">
        <v>29</v>
      </c>
      <c r="B21" s="3" t="s">
        <v>27</v>
      </c>
      <c r="C21" s="4">
        <v>2664.7867506855746</v>
      </c>
      <c r="D21" s="4">
        <v>5611.3132114174541</v>
      </c>
      <c r="E21" s="4">
        <v>8948.6373982878958</v>
      </c>
      <c r="F21" s="4">
        <v>6608.8806748856423</v>
      </c>
      <c r="G21" s="4">
        <v>6382.2764149269888</v>
      </c>
      <c r="H21" s="4">
        <v>7696.737048642327</v>
      </c>
      <c r="I21" s="4">
        <v>8675.2154388524523</v>
      </c>
      <c r="J21" s="4">
        <v>7003.7995571645279</v>
      </c>
      <c r="K21" s="4">
        <v>7177.1459720707226</v>
      </c>
      <c r="L21" s="4">
        <v>6420.1664715890101</v>
      </c>
      <c r="M21" s="4">
        <v>5626.9590247865617</v>
      </c>
      <c r="N21" s="4">
        <v>6822.4099675890257</v>
      </c>
      <c r="O21" s="4">
        <v>7148.3495494411018</v>
      </c>
      <c r="P21" s="4">
        <v>4951.1932299074879</v>
      </c>
      <c r="Q21" s="4">
        <v>5906.3229718415196</v>
      </c>
      <c r="R21" s="4">
        <v>4627.4324393525658</v>
      </c>
      <c r="S21" s="4">
        <v>5271.5889312192539</v>
      </c>
      <c r="T21" s="4">
        <v>5633.8817041336051</v>
      </c>
      <c r="U21" s="4">
        <v>7717.3960969999998</v>
      </c>
      <c r="V21" s="4">
        <v>7117.3251645969067</v>
      </c>
      <c r="W21" s="4">
        <v>5941.2481251452582</v>
      </c>
      <c r="X21" s="4">
        <v>8451.6511741645099</v>
      </c>
      <c r="Y21" s="4">
        <v>7715.7370609540967</v>
      </c>
      <c r="Z21" s="4">
        <v>10663.654024990927</v>
      </c>
      <c r="AA21" s="4">
        <v>7049.2819419401803</v>
      </c>
      <c r="AB21" s="4">
        <v>6379.1300169441965</v>
      </c>
      <c r="AC21" s="4">
        <v>9854.3471765908016</v>
      </c>
      <c r="AD21" s="4">
        <v>7126.5568391714942</v>
      </c>
      <c r="AE21" s="4">
        <v>8448.0626881590961</v>
      </c>
      <c r="AF21" s="4">
        <v>8970.7258979990238</v>
      </c>
      <c r="AG21" s="5">
        <v>10436.354512047303</v>
      </c>
      <c r="AH21" s="4">
        <f t="shared" si="0"/>
        <v>219048.56747649753</v>
      </c>
      <c r="AI21" s="3">
        <f t="shared" si="1"/>
        <v>31</v>
      </c>
      <c r="AJ21" s="4">
        <f t="shared" si="2"/>
        <v>7066.0828218225006</v>
      </c>
    </row>
    <row r="22" spans="1:36" ht="13" x14ac:dyDescent="0.15">
      <c r="A22" s="3" t="s">
        <v>30</v>
      </c>
      <c r="B22" s="3" t="s">
        <v>6</v>
      </c>
      <c r="C22" s="4"/>
      <c r="D22" s="4"/>
      <c r="E22" s="4"/>
      <c r="F22" s="4"/>
      <c r="G22" s="4"/>
      <c r="H22" s="4"/>
      <c r="I22" s="4"/>
      <c r="J22" s="4"/>
      <c r="K22" s="4">
        <v>1104.4300013368356</v>
      </c>
      <c r="L22" s="4">
        <v>3802.1042492549486</v>
      </c>
      <c r="M22" s="4">
        <v>4572.8379718282122</v>
      </c>
      <c r="N22" s="4">
        <v>3496.152726701147</v>
      </c>
      <c r="O22" s="4">
        <v>3850.153730271456</v>
      </c>
      <c r="P22" s="4">
        <v>4622.247618653395</v>
      </c>
      <c r="Q22" s="4">
        <v>5155.9541386225646</v>
      </c>
      <c r="R22" s="4">
        <v>4704.1010775928862</v>
      </c>
      <c r="S22" s="4">
        <v>4672.185606011547</v>
      </c>
      <c r="T22" s="4">
        <v>4216.6044592245789</v>
      </c>
      <c r="U22" s="4">
        <v>4715.9018409999999</v>
      </c>
      <c r="V22" s="4">
        <v>5043.4327463112959</v>
      </c>
      <c r="W22" s="4">
        <v>6236.4497757193058</v>
      </c>
      <c r="X22" s="4">
        <v>6601.3623899087488</v>
      </c>
      <c r="Y22" s="4">
        <v>4508.3616956733304</v>
      </c>
      <c r="Z22" s="4">
        <v>5121.3773362087486</v>
      </c>
      <c r="AA22" s="4">
        <v>6603.4583634623696</v>
      </c>
      <c r="AB22" s="4">
        <v>5886.8634318569948</v>
      </c>
      <c r="AC22" s="4">
        <v>6112.1146874940296</v>
      </c>
      <c r="AD22" s="4">
        <v>7216.2874218805664</v>
      </c>
      <c r="AE22" s="4">
        <v>4605.3189265478504</v>
      </c>
      <c r="AF22" s="4">
        <v>5683.8947039757586</v>
      </c>
      <c r="AG22" s="5">
        <v>7679.1577616288387</v>
      </c>
      <c r="AH22" s="4">
        <f t="shared" si="0"/>
        <v>116210.75266116542</v>
      </c>
      <c r="AI22" s="3">
        <f t="shared" si="1"/>
        <v>23</v>
      </c>
      <c r="AJ22" s="4">
        <f t="shared" si="2"/>
        <v>5052.6414200506706</v>
      </c>
    </row>
    <row r="23" spans="1:36" ht="13" x14ac:dyDescent="0.15">
      <c r="A23" s="3" t="s">
        <v>31</v>
      </c>
      <c r="B23" s="3" t="s">
        <v>27</v>
      </c>
      <c r="C23" s="4"/>
      <c r="D23" s="4"/>
      <c r="E23" s="4"/>
      <c r="F23" s="4">
        <v>2963.9066591883206</v>
      </c>
      <c r="G23" s="4">
        <v>6004.6543096445466</v>
      </c>
      <c r="H23" s="4">
        <v>4978.1961979317748</v>
      </c>
      <c r="I23" s="4">
        <v>5395.5205675013103</v>
      </c>
      <c r="J23" s="4">
        <v>4947.7195178474758</v>
      </c>
      <c r="K23" s="4">
        <v>3793.0526769226867</v>
      </c>
      <c r="L23" s="4">
        <v>4546.6704727823808</v>
      </c>
      <c r="M23" s="4">
        <v>3660.0133480340437</v>
      </c>
      <c r="N23" s="4">
        <v>4837.0863729897783</v>
      </c>
      <c r="O23" s="4">
        <v>5691.5830195606686</v>
      </c>
      <c r="P23" s="4">
        <v>5457.7682355127708</v>
      </c>
      <c r="Q23" s="4">
        <v>6156.7639740328996</v>
      </c>
      <c r="R23" s="4">
        <v>4474.8249096277368</v>
      </c>
      <c r="S23" s="4">
        <v>6388.8306394737701</v>
      </c>
      <c r="T23" s="4">
        <v>4151.4624111381418</v>
      </c>
      <c r="U23" s="4">
        <v>5525.3884719999996</v>
      </c>
      <c r="V23" s="4">
        <v>3995.6535198720821</v>
      </c>
      <c r="W23" s="4">
        <v>5183.7069120543338</v>
      </c>
      <c r="X23" s="4">
        <v>5954.3322193533122</v>
      </c>
      <c r="Y23" s="4">
        <v>6587.0827461596537</v>
      </c>
      <c r="Z23" s="4">
        <v>4696.6686587386039</v>
      </c>
      <c r="AA23" s="4">
        <v>5595.9212631782311</v>
      </c>
      <c r="AB23" s="4">
        <v>5018.7908980741649</v>
      </c>
      <c r="AC23" s="4">
        <v>5093.3167160660896</v>
      </c>
      <c r="AD23" s="4">
        <v>6641.3386583373986</v>
      </c>
      <c r="AE23" s="4">
        <v>5587.9227235975168</v>
      </c>
      <c r="AF23" s="4">
        <v>5109.3618901001701</v>
      </c>
      <c r="AG23" s="5">
        <v>7849.5075976988519</v>
      </c>
      <c r="AH23" s="4">
        <f t="shared" si="0"/>
        <v>146287.04558741872</v>
      </c>
      <c r="AI23" s="3">
        <f t="shared" si="1"/>
        <v>28</v>
      </c>
      <c r="AJ23" s="4">
        <f t="shared" si="2"/>
        <v>5224.5373424078116</v>
      </c>
    </row>
    <row r="24" spans="1:36" ht="13" x14ac:dyDescent="0.15">
      <c r="A24" s="3" t="s">
        <v>32</v>
      </c>
      <c r="B24" s="3" t="s">
        <v>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>
        <v>4266.9577353404147</v>
      </c>
      <c r="Q24" s="4">
        <v>7020.0336065893543</v>
      </c>
      <c r="R24" s="4">
        <v>6069.6658092901052</v>
      </c>
      <c r="S24" s="4">
        <v>6546.3713877363425</v>
      </c>
      <c r="T24" s="4">
        <v>6886.6650575801559</v>
      </c>
      <c r="U24" s="4">
        <v>9231.359907</v>
      </c>
      <c r="V24" s="4">
        <v>10003.980223883562</v>
      </c>
      <c r="W24" s="4">
        <v>8709.4014656525105</v>
      </c>
      <c r="X24" s="4">
        <v>9680.9409840378594</v>
      </c>
      <c r="Y24" s="4">
        <v>7655.3226251001979</v>
      </c>
      <c r="Z24" s="4">
        <v>6526.6660496622899</v>
      </c>
      <c r="AA24" s="4">
        <v>9089.8813762260415</v>
      </c>
      <c r="AB24" s="4">
        <v>8476.9177667409276</v>
      </c>
      <c r="AC24" s="4">
        <v>9136.6151606118055</v>
      </c>
      <c r="AD24" s="4">
        <v>9923.1564304802287</v>
      </c>
      <c r="AE24" s="4">
        <v>10028.485104287016</v>
      </c>
      <c r="AF24" s="4">
        <v>8578.1102970929824</v>
      </c>
      <c r="AG24" s="5">
        <v>10134.710972299716</v>
      </c>
      <c r="AH24" s="4">
        <f t="shared" si="0"/>
        <v>147965.24195961151</v>
      </c>
      <c r="AI24" s="3">
        <f t="shared" si="1"/>
        <v>18</v>
      </c>
      <c r="AJ24" s="4">
        <f t="shared" si="2"/>
        <v>8220.2912199784168</v>
      </c>
    </row>
    <row r="25" spans="1:36" ht="13" x14ac:dyDescent="0.15">
      <c r="A25" s="3" t="s">
        <v>33</v>
      </c>
      <c r="B25" s="3" t="s">
        <v>6</v>
      </c>
      <c r="C25" s="4">
        <v>11435.973918975331</v>
      </c>
      <c r="D25" s="4">
        <v>10630.148820389002</v>
      </c>
      <c r="E25" s="4">
        <v>10906.300714464913</v>
      </c>
      <c r="F25" s="4">
        <v>6896.0849784956372</v>
      </c>
      <c r="G25" s="4">
        <v>7820.034904928254</v>
      </c>
      <c r="H25" s="4">
        <v>9285.6287970704816</v>
      </c>
      <c r="I25" s="4">
        <v>8947.3805372176048</v>
      </c>
      <c r="J25" s="4">
        <v>9553.3884400914485</v>
      </c>
      <c r="K25" s="4">
        <v>8444.424720286308</v>
      </c>
      <c r="L25" s="4">
        <v>8269.1024196749877</v>
      </c>
      <c r="M25" s="4">
        <v>9120.4030742699524</v>
      </c>
      <c r="N25" s="4">
        <v>9271.4752296242132</v>
      </c>
      <c r="O25" s="4">
        <v>8559.9853357775919</v>
      </c>
      <c r="P25" s="4">
        <v>7299.6955532735683</v>
      </c>
      <c r="Q25" s="4">
        <v>7431.7701099965743</v>
      </c>
      <c r="R25" s="4">
        <v>7459.6427870997086</v>
      </c>
      <c r="S25" s="4">
        <v>7666.2313894215076</v>
      </c>
      <c r="T25" s="4">
        <v>7204.4153248605498</v>
      </c>
      <c r="U25" s="4">
        <v>9458.2520449999993</v>
      </c>
      <c r="V25" s="4">
        <v>9114.0891013948712</v>
      </c>
      <c r="W25" s="4">
        <v>7600.3025069757623</v>
      </c>
      <c r="X25" s="4">
        <v>10637.000443623208</v>
      </c>
      <c r="Y25" s="4">
        <v>8820.0991879949052</v>
      </c>
      <c r="Z25" s="4">
        <v>9771.2500602569835</v>
      </c>
      <c r="AA25" s="4">
        <v>14379.006017297705</v>
      </c>
      <c r="AB25" s="4">
        <v>10878.186507871575</v>
      </c>
      <c r="AC25" s="4">
        <v>12617.164712540163</v>
      </c>
      <c r="AD25" s="4">
        <v>14911.766370328147</v>
      </c>
      <c r="AE25" s="4">
        <v>11948.021080524351</v>
      </c>
      <c r="AF25" s="4">
        <v>13978.898793902399</v>
      </c>
      <c r="AG25" s="5">
        <v>14969.401658293802</v>
      </c>
      <c r="AH25" s="4">
        <f t="shared" si="0"/>
        <v>305285.52554192155</v>
      </c>
      <c r="AI25" s="3">
        <f t="shared" si="1"/>
        <v>31</v>
      </c>
      <c r="AJ25" s="4">
        <f t="shared" si="2"/>
        <v>9847.9201787716629</v>
      </c>
    </row>
    <row r="26" spans="1:36" ht="13" x14ac:dyDescent="0.15">
      <c r="A26" s="3" t="s">
        <v>34</v>
      </c>
      <c r="B26" s="3" t="s">
        <v>6</v>
      </c>
      <c r="C26" s="4">
        <v>4001.5632699305816</v>
      </c>
      <c r="D26" s="4">
        <v>2573.2407378108319</v>
      </c>
      <c r="E26" s="4">
        <v>1681.766937371928</v>
      </c>
      <c r="F26" s="4">
        <v>2512.033546503319</v>
      </c>
      <c r="G26" s="4">
        <v>1690.9806719803814</v>
      </c>
      <c r="H26" s="4">
        <v>3922.0293512471872</v>
      </c>
      <c r="I26" s="4">
        <v>4750.4081429623548</v>
      </c>
      <c r="J26" s="4">
        <v>6134.9373585689145</v>
      </c>
      <c r="K26" s="4">
        <v>5645.4211005673169</v>
      </c>
      <c r="L26" s="4">
        <v>5539.3908013859846</v>
      </c>
      <c r="M26" s="4">
        <v>5211.2092019835318</v>
      </c>
      <c r="N26" s="4">
        <v>2830.9070248324833</v>
      </c>
      <c r="O26" s="4">
        <v>3352.0466287674585</v>
      </c>
      <c r="P26" s="4">
        <v>3589.4102287120236</v>
      </c>
      <c r="Q26" s="4">
        <v>3694.9490205411016</v>
      </c>
      <c r="R26" s="4">
        <v>4346.3237001327616</v>
      </c>
      <c r="S26" s="4">
        <v>6116.0916645104935</v>
      </c>
      <c r="T26" s="4">
        <v>4554.7379913311606</v>
      </c>
      <c r="U26" s="4">
        <v>5750.0238220000001</v>
      </c>
      <c r="V26" s="4">
        <v>5007.382952207995</v>
      </c>
      <c r="W26" s="4">
        <v>6767.8195483923837</v>
      </c>
      <c r="X26" s="4">
        <v>6412.2392274964468</v>
      </c>
      <c r="Y26" s="4">
        <v>5025.3327182491557</v>
      </c>
      <c r="Z26" s="4">
        <v>6193.393168917165</v>
      </c>
      <c r="AA26" s="4">
        <v>6189.6411379564297</v>
      </c>
      <c r="AB26" s="4">
        <v>7244.0007797441767</v>
      </c>
      <c r="AC26" s="4">
        <v>6696.9719987957042</v>
      </c>
      <c r="AD26" s="4">
        <v>6578.8620381586079</v>
      </c>
      <c r="AE26" s="4">
        <v>7547.2706674310593</v>
      </c>
      <c r="AF26" s="4">
        <v>7004.7319652250708</v>
      </c>
      <c r="AG26" s="5">
        <v>5892.926729245808</v>
      </c>
      <c r="AH26" s="4">
        <f t="shared" si="0"/>
        <v>154458.0441329598</v>
      </c>
      <c r="AI26" s="3">
        <f t="shared" si="1"/>
        <v>31</v>
      </c>
      <c r="AJ26" s="4">
        <f t="shared" si="2"/>
        <v>4982.5175526761222</v>
      </c>
    </row>
    <row r="27" spans="1:36" ht="13" x14ac:dyDescent="0.15">
      <c r="A27" s="3" t="s">
        <v>35</v>
      </c>
      <c r="B27" s="3" t="s">
        <v>27</v>
      </c>
      <c r="C27" s="4">
        <v>3171.9327587488774</v>
      </c>
      <c r="D27" s="4">
        <v>5748.0604296861111</v>
      </c>
      <c r="E27" s="4">
        <v>5338.5912224317217</v>
      </c>
      <c r="F27" s="4">
        <v>5780.5188288612644</v>
      </c>
      <c r="G27" s="4">
        <v>5344.7814716255298</v>
      </c>
      <c r="H27" s="4">
        <v>3411.9771687617185</v>
      </c>
      <c r="I27" s="4">
        <v>4840.3904503936383</v>
      </c>
      <c r="J27" s="4">
        <v>3842.5675580672241</v>
      </c>
      <c r="K27" s="4">
        <v>4095.6780113489353</v>
      </c>
      <c r="L27" s="4">
        <v>1883.8213594661559</v>
      </c>
      <c r="M27" s="4">
        <v>3145.8453904787766</v>
      </c>
      <c r="N27" s="4">
        <v>2833.5316331134413</v>
      </c>
      <c r="O27" s="4">
        <v>3198.9042086617715</v>
      </c>
      <c r="P27" s="4">
        <v>2808.6547756882483</v>
      </c>
      <c r="Q27" s="4">
        <v>2770.7236269851146</v>
      </c>
      <c r="R27" s="4">
        <v>1931.6220140312626</v>
      </c>
      <c r="S27" s="4">
        <v>2483.2709127059688</v>
      </c>
      <c r="T27" s="4">
        <v>3947.0802510184908</v>
      </c>
      <c r="U27" s="4">
        <v>4151.0807269999996</v>
      </c>
      <c r="V27" s="4">
        <v>5080.0157032414409</v>
      </c>
      <c r="W27" s="4">
        <v>4691.9315536001923</v>
      </c>
      <c r="X27" s="4">
        <v>5972.9734536684564</v>
      </c>
      <c r="Y27" s="4">
        <v>5426.7563885873687</v>
      </c>
      <c r="Z27" s="4">
        <v>5737.0550481337577</v>
      </c>
      <c r="AA27" s="4">
        <v>5726.4714461274452</v>
      </c>
      <c r="AB27" s="4">
        <v>4054.7329614309192</v>
      </c>
      <c r="AC27" s="4">
        <v>4257.175425776024</v>
      </c>
      <c r="AD27" s="4">
        <v>6210.3207074528354</v>
      </c>
      <c r="AE27" s="4">
        <v>4357.3734624714007</v>
      </c>
      <c r="AF27" s="4">
        <v>5386.6331008700063</v>
      </c>
      <c r="AG27" s="5">
        <v>5758.3144854821658</v>
      </c>
      <c r="AH27" s="4">
        <f t="shared" si="0"/>
        <v>133388.78653591624</v>
      </c>
      <c r="AI27" s="3">
        <f t="shared" si="1"/>
        <v>31</v>
      </c>
      <c r="AJ27" s="4">
        <f t="shared" si="2"/>
        <v>4302.8640818037493</v>
      </c>
    </row>
    <row r="28" spans="1:36" ht="13" x14ac:dyDescent="0.15">
      <c r="A28" s="3" t="s">
        <v>36</v>
      </c>
      <c r="B28" s="3" t="s">
        <v>17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>
        <v>3216.3550507573873</v>
      </c>
      <c r="R28" s="4">
        <v>3841.7558522360505</v>
      </c>
      <c r="S28" s="4">
        <v>3761.4195020278376</v>
      </c>
      <c r="T28" s="4">
        <v>4447.3352404733932</v>
      </c>
      <c r="U28" s="4">
        <v>6647.0961509999997</v>
      </c>
      <c r="V28" s="4">
        <v>4878.145855890677</v>
      </c>
      <c r="W28" s="4">
        <v>4495.739538825479</v>
      </c>
      <c r="X28" s="4">
        <v>6610.5283076798614</v>
      </c>
      <c r="Y28" s="4">
        <v>5045.6475523441331</v>
      </c>
      <c r="Z28" s="4">
        <v>4809.7427303149616</v>
      </c>
      <c r="AA28" s="4">
        <v>5890.4349769131386</v>
      </c>
      <c r="AB28" s="4">
        <v>3740.4897443353461</v>
      </c>
      <c r="AC28" s="4">
        <v>5247.1004329010038</v>
      </c>
      <c r="AD28" s="4">
        <v>5557.2767424047261</v>
      </c>
      <c r="AE28" s="4">
        <v>4469.1116418156171</v>
      </c>
      <c r="AF28" s="4">
        <v>6232.2334655082523</v>
      </c>
      <c r="AG28" s="5">
        <v>7853.3273226858992</v>
      </c>
      <c r="AH28" s="4">
        <f t="shared" si="0"/>
        <v>86743.74010811375</v>
      </c>
      <c r="AI28" s="3">
        <f t="shared" si="1"/>
        <v>17</v>
      </c>
      <c r="AJ28" s="4">
        <f t="shared" si="2"/>
        <v>5102.5729475361031</v>
      </c>
    </row>
    <row r="29" spans="1:36" ht="13" x14ac:dyDescent="0.15">
      <c r="A29" s="3" t="s">
        <v>37</v>
      </c>
      <c r="B29" s="3" t="s">
        <v>17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>
        <v>1928.2232619064625</v>
      </c>
      <c r="S29" s="4">
        <v>1876.7066245495125</v>
      </c>
      <c r="T29" s="4">
        <v>2399.827655157339</v>
      </c>
      <c r="U29" s="4">
        <v>3283.4356990000001</v>
      </c>
      <c r="V29" s="4">
        <v>3848.215890649943</v>
      </c>
      <c r="W29" s="4">
        <v>4429.7065242361587</v>
      </c>
      <c r="X29" s="4">
        <v>3679.0214630019768</v>
      </c>
      <c r="Y29" s="4">
        <v>3555.3200811535198</v>
      </c>
      <c r="Z29" s="4">
        <v>3030.6756571682508</v>
      </c>
      <c r="AA29" s="4">
        <v>3082.380874664872</v>
      </c>
      <c r="AB29" s="4">
        <v>3800.8765454793092</v>
      </c>
      <c r="AC29" s="4">
        <v>5000.6876445666012</v>
      </c>
      <c r="AD29" s="4">
        <v>4414.2825465455408</v>
      </c>
      <c r="AE29" s="4">
        <v>3895.1010339073441</v>
      </c>
      <c r="AF29" s="4">
        <v>4101.2851459133062</v>
      </c>
      <c r="AG29" s="5">
        <v>4549.5785955393649</v>
      </c>
      <c r="AH29" s="4">
        <f t="shared" si="0"/>
        <v>56875.325243439504</v>
      </c>
      <c r="AI29" s="3">
        <f t="shared" si="1"/>
        <v>16</v>
      </c>
      <c r="AJ29" s="4">
        <f t="shared" si="2"/>
        <v>3554.707827714969</v>
      </c>
    </row>
    <row r="30" spans="1:36" ht="13" x14ac:dyDescent="0.15">
      <c r="A30" s="3" t="s">
        <v>38</v>
      </c>
      <c r="B30" s="3" t="s">
        <v>6</v>
      </c>
      <c r="C30" s="4">
        <v>9857.9065237582327</v>
      </c>
      <c r="D30" s="4">
        <v>11953.445080834868</v>
      </c>
      <c r="E30" s="4">
        <v>8338.7130838987032</v>
      </c>
      <c r="F30" s="4">
        <v>6836.4694350411783</v>
      </c>
      <c r="G30" s="4">
        <v>8696.632569086607</v>
      </c>
      <c r="H30" s="4">
        <v>5778.3971428514751</v>
      </c>
      <c r="I30" s="4">
        <v>7663.0533132717474</v>
      </c>
      <c r="J30" s="4">
        <v>9496.3094452124969</v>
      </c>
      <c r="K30" s="4">
        <v>9389.1829696961704</v>
      </c>
      <c r="L30" s="4">
        <v>8183.3670093722249</v>
      </c>
      <c r="M30" s="4">
        <v>7193.2655654703931</v>
      </c>
      <c r="N30" s="4">
        <v>7241.8433576736161</v>
      </c>
      <c r="O30" s="4">
        <v>6483.0262457311828</v>
      </c>
      <c r="P30" s="4">
        <v>9535.274632545279</v>
      </c>
      <c r="Q30" s="4">
        <v>8227.2860048487782</v>
      </c>
      <c r="R30" s="4">
        <v>5787.3493250108504</v>
      </c>
      <c r="S30" s="4">
        <v>7461.6560033837341</v>
      </c>
      <c r="T30" s="4">
        <v>6482.2751530333189</v>
      </c>
      <c r="U30" s="4">
        <v>10268.24964</v>
      </c>
      <c r="V30" s="4">
        <v>11332.42272196922</v>
      </c>
      <c r="W30" s="4">
        <v>10828.327217820808</v>
      </c>
      <c r="X30" s="4">
        <v>12587.595272780882</v>
      </c>
      <c r="Y30" s="4">
        <v>11319.707485020286</v>
      </c>
      <c r="Z30" s="4">
        <v>10758.661085466911</v>
      </c>
      <c r="AA30" s="4">
        <v>11539.78552751909</v>
      </c>
      <c r="AB30" s="4">
        <v>10269.849330947112</v>
      </c>
      <c r="AC30" s="4">
        <v>10981.892536986981</v>
      </c>
      <c r="AD30" s="4">
        <v>12822.858031559505</v>
      </c>
      <c r="AE30" s="4">
        <v>11846.699747580382</v>
      </c>
      <c r="AF30" s="4">
        <v>12134.018723393483</v>
      </c>
      <c r="AG30" s="5">
        <v>14138.244528014533</v>
      </c>
      <c r="AH30" s="4">
        <f t="shared" si="0"/>
        <v>295433.76470978011</v>
      </c>
      <c r="AI30" s="3">
        <f t="shared" si="1"/>
        <v>31</v>
      </c>
      <c r="AJ30" s="4">
        <f t="shared" si="2"/>
        <v>9530.1214422509711</v>
      </c>
    </row>
    <row r="31" spans="1:36" ht="13" x14ac:dyDescent="0.15">
      <c r="A31" s="3" t="s">
        <v>39</v>
      </c>
      <c r="B31" s="3" t="s">
        <v>17</v>
      </c>
      <c r="C31" s="4">
        <v>3729.1200128639293</v>
      </c>
      <c r="D31" s="4">
        <v>6214.2069854787906</v>
      </c>
      <c r="E31" s="4">
        <v>4634.4894491505629</v>
      </c>
      <c r="F31" s="4">
        <v>4088.2724997348705</v>
      </c>
      <c r="G31" s="4">
        <v>3922.1563122397865</v>
      </c>
      <c r="H31" s="4">
        <v>2486.4449468199496</v>
      </c>
      <c r="I31" s="4">
        <v>4049.8658430982059</v>
      </c>
      <c r="J31" s="4">
        <v>3230.3921512880479</v>
      </c>
      <c r="K31" s="4">
        <v>4336.3106825204613</v>
      </c>
      <c r="L31" s="4">
        <v>4322.3789135821153</v>
      </c>
      <c r="M31" s="4">
        <v>3450.0625565049777</v>
      </c>
      <c r="N31" s="4">
        <v>2678.9322511581531</v>
      </c>
      <c r="O31" s="4">
        <v>3353.3434210852424</v>
      </c>
      <c r="P31" s="4">
        <v>3340.9886304111565</v>
      </c>
      <c r="Q31" s="4">
        <v>2575.8705176118315</v>
      </c>
      <c r="R31" s="4">
        <v>3534.9120506349168</v>
      </c>
      <c r="S31" s="4">
        <v>4078.7610780025734</v>
      </c>
      <c r="T31" s="4">
        <v>3120.8404889549292</v>
      </c>
      <c r="U31" s="4">
        <v>4562.0560660000001</v>
      </c>
      <c r="V31" s="4">
        <v>4181.1832876230019</v>
      </c>
      <c r="W31" s="4">
        <v>4566.9244709906325</v>
      </c>
      <c r="X31" s="4">
        <v>6061.4176424143061</v>
      </c>
      <c r="Y31" s="4">
        <v>3888.2206518887674</v>
      </c>
      <c r="Z31" s="4">
        <v>3101.033515014125</v>
      </c>
      <c r="AA31" s="4">
        <v>3148.5335178556602</v>
      </c>
      <c r="AB31" s="4">
        <v>3404.775790213258</v>
      </c>
      <c r="AC31" s="4">
        <v>4450.7191848733019</v>
      </c>
      <c r="AD31" s="4">
        <v>6953.3310336039112</v>
      </c>
      <c r="AE31" s="4">
        <v>6530.9356367234941</v>
      </c>
      <c r="AF31" s="4">
        <v>5454.9068950290439</v>
      </c>
      <c r="AG31" s="5">
        <v>6557.5262451072185</v>
      </c>
      <c r="AH31" s="4">
        <f t="shared" si="0"/>
        <v>130008.91272847723</v>
      </c>
      <c r="AI31" s="3">
        <f t="shared" si="1"/>
        <v>31</v>
      </c>
      <c r="AJ31" s="4">
        <f t="shared" si="2"/>
        <v>4193.8358944670072</v>
      </c>
    </row>
    <row r="32" spans="1:36" ht="13" x14ac:dyDescent="0.15">
      <c r="A32" s="3" t="s">
        <v>40</v>
      </c>
      <c r="B32" s="3" t="s">
        <v>6</v>
      </c>
      <c r="C32" s="4">
        <v>7635.1629192635528</v>
      </c>
      <c r="D32" s="4">
        <v>6873.8197398291341</v>
      </c>
      <c r="E32" s="4">
        <v>5041.5617375312086</v>
      </c>
      <c r="F32" s="4">
        <v>4254.6237390666683</v>
      </c>
      <c r="G32" s="4">
        <v>4269.1864534179031</v>
      </c>
      <c r="H32" s="4">
        <v>3956.4165700722888</v>
      </c>
      <c r="I32" s="4">
        <v>4092.6170228512601</v>
      </c>
      <c r="J32" s="4">
        <v>4443.4585325604676</v>
      </c>
      <c r="K32" s="4">
        <v>4996.6835506887801</v>
      </c>
      <c r="L32" s="4">
        <v>5224.3166863328497</v>
      </c>
      <c r="M32" s="4">
        <v>3771.246937149393</v>
      </c>
      <c r="N32" s="4">
        <v>5086.4831942000919</v>
      </c>
      <c r="O32" s="4">
        <v>4591.1547260097495</v>
      </c>
      <c r="P32" s="4">
        <v>3575.5571392724428</v>
      </c>
      <c r="Q32" s="4">
        <v>3530.8448182752113</v>
      </c>
      <c r="R32" s="4">
        <v>3476.9421050771971</v>
      </c>
      <c r="S32" s="4">
        <v>2936.2482067533133</v>
      </c>
      <c r="T32" s="4">
        <v>2494.2378797314882</v>
      </c>
      <c r="U32" s="4">
        <v>5725.6346350000003</v>
      </c>
      <c r="V32" s="4">
        <v>4742.2306823177132</v>
      </c>
      <c r="W32" s="4">
        <v>5931.9295935568398</v>
      </c>
      <c r="X32" s="4">
        <v>6638.2750989029255</v>
      </c>
      <c r="Y32" s="4">
        <v>6699.4031386971074</v>
      </c>
      <c r="Z32" s="4"/>
      <c r="AA32" s="4"/>
      <c r="AB32" s="4"/>
      <c r="AC32" s="4"/>
      <c r="AD32" s="4"/>
      <c r="AE32" s="4"/>
      <c r="AF32" s="4"/>
      <c r="AG32" s="5">
        <v>3651.2604233979146</v>
      </c>
      <c r="AH32" s="4">
        <f t="shared" si="0"/>
        <v>113639.29552995547</v>
      </c>
      <c r="AI32" s="3">
        <f t="shared" si="1"/>
        <v>24</v>
      </c>
      <c r="AJ32" s="4">
        <f t="shared" si="2"/>
        <v>4734.9706470814781</v>
      </c>
    </row>
    <row r="33" spans="1:36" ht="13" x14ac:dyDescent="0.15">
      <c r="A33" s="3" t="s">
        <v>41</v>
      </c>
      <c r="B33" s="3" t="s">
        <v>27</v>
      </c>
      <c r="C33" s="4">
        <v>5881.0282812235137</v>
      </c>
      <c r="D33" s="4">
        <v>7917.2590772047279</v>
      </c>
      <c r="E33" s="4">
        <v>9552.6346395507335</v>
      </c>
      <c r="F33" s="4">
        <v>10575.205990099499</v>
      </c>
      <c r="G33" s="4">
        <v>9226.6939641530662</v>
      </c>
      <c r="H33" s="4">
        <v>7018.8379178495697</v>
      </c>
      <c r="I33" s="4">
        <v>9133.5407214399711</v>
      </c>
      <c r="J33" s="4">
        <v>11120.845288846322</v>
      </c>
      <c r="K33" s="4">
        <v>13986.677801433199</v>
      </c>
      <c r="L33" s="4">
        <v>9176.3518158409024</v>
      </c>
      <c r="M33" s="4">
        <v>9109.3268161303913</v>
      </c>
      <c r="N33" s="4">
        <v>9114.9000896151338</v>
      </c>
      <c r="O33" s="4">
        <v>10056.534070447817</v>
      </c>
      <c r="P33" s="4">
        <v>10163.673097049927</v>
      </c>
      <c r="Q33" s="4">
        <v>9981.6945188053814</v>
      </c>
      <c r="R33" s="4">
        <v>5845.5663975421667</v>
      </c>
      <c r="S33" s="4">
        <v>6963.8409979563885</v>
      </c>
      <c r="T33" s="4">
        <v>7595.7596513458057</v>
      </c>
      <c r="U33" s="4">
        <v>9828.2298709999995</v>
      </c>
      <c r="V33" s="4">
        <v>9873.7060828120339</v>
      </c>
      <c r="W33" s="4">
        <v>9785.725219220998</v>
      </c>
      <c r="X33" s="4">
        <v>10891.666374840117</v>
      </c>
      <c r="Y33" s="4">
        <v>8866.3335475174408</v>
      </c>
      <c r="Z33" s="4">
        <v>9458.1677603444878</v>
      </c>
      <c r="AA33" s="4">
        <v>8956.2508621862544</v>
      </c>
      <c r="AB33" s="4">
        <v>8831.9605105292449</v>
      </c>
      <c r="AC33" s="4">
        <v>8829.3337967002408</v>
      </c>
      <c r="AD33" s="4">
        <v>12601.409398676135</v>
      </c>
      <c r="AE33" s="4">
        <v>9341.4679979734738</v>
      </c>
      <c r="AF33" s="4">
        <v>9803.0302556229417</v>
      </c>
      <c r="AG33" s="5">
        <v>15944.892909288745</v>
      </c>
      <c r="AH33" s="4">
        <f t="shared" si="0"/>
        <v>295432.54572324664</v>
      </c>
      <c r="AI33" s="3">
        <f t="shared" si="1"/>
        <v>31</v>
      </c>
      <c r="AJ33" s="4">
        <f t="shared" si="2"/>
        <v>9530.0821201047311</v>
      </c>
    </row>
    <row r="34" spans="1:36" ht="13" x14ac:dyDescent="0.15">
      <c r="A34" s="3" t="s">
        <v>42</v>
      </c>
      <c r="B34" s="3" t="s">
        <v>13</v>
      </c>
      <c r="C34" s="4">
        <v>1807.5174263756257</v>
      </c>
      <c r="D34" s="4">
        <v>10167.111336149346</v>
      </c>
      <c r="E34" s="4">
        <v>7689.2109054547082</v>
      </c>
      <c r="F34" s="4">
        <v>6090.3254136793903</v>
      </c>
      <c r="G34" s="4">
        <v>6294.8247153633583</v>
      </c>
      <c r="H34" s="4">
        <v>5340.380721060159</v>
      </c>
      <c r="I34" s="4">
        <v>5779.245892735501</v>
      </c>
      <c r="J34" s="4">
        <v>6932.0810142395167</v>
      </c>
      <c r="K34" s="4">
        <v>5062.431080106081</v>
      </c>
      <c r="L34" s="4">
        <v>5373.0587119524644</v>
      </c>
      <c r="M34" s="4">
        <v>6498.0615953121142</v>
      </c>
      <c r="N34" s="4">
        <v>9032.3606310374071</v>
      </c>
      <c r="O34" s="4">
        <v>4150.4335144016604</v>
      </c>
      <c r="P34" s="4">
        <v>4134.1462112581094</v>
      </c>
      <c r="Q34" s="4">
        <v>3759.8766145124941</v>
      </c>
      <c r="R34" s="4">
        <v>4215.283003475085</v>
      </c>
      <c r="S34" s="4">
        <v>3889.8799348097523</v>
      </c>
      <c r="T34" s="4">
        <v>4641.3942969764557</v>
      </c>
      <c r="U34" s="4">
        <v>4568.1441619999996</v>
      </c>
      <c r="V34" s="4">
        <v>5121.352080526075</v>
      </c>
      <c r="W34" s="4">
        <v>5431.7007797270953</v>
      </c>
      <c r="X34" s="4">
        <v>6580.3688458213855</v>
      </c>
      <c r="Y34" s="4">
        <v>5365.548626406523</v>
      </c>
      <c r="Z34" s="4">
        <v>4748.4509725237731</v>
      </c>
      <c r="AA34" s="4">
        <v>7003.0811202770738</v>
      </c>
      <c r="AB34" s="4">
        <v>5404.4880531826166</v>
      </c>
      <c r="AC34" s="4">
        <v>5421.9811891305026</v>
      </c>
      <c r="AD34" s="4">
        <v>4670.5562410591447</v>
      </c>
      <c r="AE34" s="4">
        <v>6477.2240706015937</v>
      </c>
      <c r="AF34" s="4">
        <v>4092.3924656428999</v>
      </c>
      <c r="AG34" s="5">
        <v>5127.9645038151748</v>
      </c>
      <c r="AH34" s="4">
        <f t="shared" si="0"/>
        <v>170870.87612961308</v>
      </c>
      <c r="AI34" s="3">
        <f t="shared" si="1"/>
        <v>31</v>
      </c>
      <c r="AJ34" s="4">
        <f t="shared" si="2"/>
        <v>5511.9637461165512</v>
      </c>
    </row>
    <row r="35" spans="1:36" ht="13" x14ac:dyDescent="0.15">
      <c r="A35" s="3" t="s">
        <v>43</v>
      </c>
      <c r="B35" s="3" t="s">
        <v>17</v>
      </c>
      <c r="C35" s="4">
        <v>4902.8905980493982</v>
      </c>
      <c r="D35" s="4">
        <v>6901.145646228756</v>
      </c>
      <c r="E35" s="4">
        <v>5573.3549335895013</v>
      </c>
      <c r="F35" s="4">
        <v>4092.4893270577995</v>
      </c>
      <c r="G35" s="4">
        <v>5543.3684532328843</v>
      </c>
      <c r="H35" s="4">
        <v>3931.3390852568482</v>
      </c>
      <c r="I35" s="4">
        <v>4892.2702337248056</v>
      </c>
      <c r="J35" s="4">
        <v>4477.8849445954484</v>
      </c>
      <c r="K35" s="4">
        <v>5360.424117163454</v>
      </c>
      <c r="L35" s="4">
        <v>5876.7438968950628</v>
      </c>
      <c r="M35" s="4">
        <v>4597.2112912140983</v>
      </c>
      <c r="N35" s="4">
        <v>4261.8034721119102</v>
      </c>
      <c r="O35" s="4">
        <v>4900.3486911233385</v>
      </c>
      <c r="P35" s="4">
        <v>4064.8945959800653</v>
      </c>
      <c r="Q35" s="4">
        <v>4319.942435153097</v>
      </c>
      <c r="R35" s="4">
        <v>3756.9833895610232</v>
      </c>
      <c r="S35" s="4">
        <v>4093.222244694548</v>
      </c>
      <c r="T35" s="4">
        <v>4910.8694455260065</v>
      </c>
      <c r="U35" s="4">
        <v>5123.2964499999998</v>
      </c>
      <c r="V35" s="4">
        <v>5437.6150135641892</v>
      </c>
      <c r="W35" s="4">
        <v>6933.6677342607036</v>
      </c>
      <c r="X35" s="4">
        <v>6811.1354333755298</v>
      </c>
      <c r="Y35" s="4">
        <v>5437.2844167564745</v>
      </c>
      <c r="Z35" s="4">
        <v>5063.1075141017309</v>
      </c>
      <c r="AA35" s="4">
        <v>4523.8502519730455</v>
      </c>
      <c r="AB35" s="4">
        <v>5351.4834804608363</v>
      </c>
      <c r="AC35" s="4">
        <v>8012.2533350374442</v>
      </c>
      <c r="AD35" s="4">
        <v>8267.9566276055211</v>
      </c>
      <c r="AE35" s="4">
        <v>6515.4601317758779</v>
      </c>
      <c r="AF35" s="4">
        <v>6917.3984685334271</v>
      </c>
      <c r="AG35" s="5">
        <v>10261.34866885715</v>
      </c>
      <c r="AH35" s="4">
        <f t="shared" si="0"/>
        <v>171113.04432745997</v>
      </c>
      <c r="AI35" s="3">
        <f t="shared" si="1"/>
        <v>31</v>
      </c>
      <c r="AJ35" s="4">
        <f t="shared" si="2"/>
        <v>5519.7756234664503</v>
      </c>
    </row>
    <row r="36" spans="1:36" ht="13" x14ac:dyDescent="0.15">
      <c r="A36" s="3" t="s">
        <v>44</v>
      </c>
      <c r="B36" s="3" t="s">
        <v>45</v>
      </c>
      <c r="C36" s="4">
        <v>343.95613416380053</v>
      </c>
      <c r="D36" s="4">
        <v>3674.5575538968333</v>
      </c>
      <c r="E36" s="4">
        <v>3174.3672646456539</v>
      </c>
      <c r="F36" s="4">
        <v>2495.6329428356225</v>
      </c>
      <c r="G36" s="4">
        <v>4205.2251865147055</v>
      </c>
      <c r="H36" s="4">
        <v>2772.2354665373446</v>
      </c>
      <c r="I36" s="4">
        <v>3440.3423405018266</v>
      </c>
      <c r="J36" s="4">
        <v>3798.0137601639426</v>
      </c>
      <c r="K36" s="4">
        <v>4102.0905084372644</v>
      </c>
      <c r="L36" s="4">
        <v>3071.9605151812088</v>
      </c>
      <c r="M36" s="4">
        <v>2185.8826076748355</v>
      </c>
      <c r="N36" s="4">
        <v>1787.5550102866387</v>
      </c>
      <c r="O36" s="4">
        <v>3220.3227020973318</v>
      </c>
      <c r="P36" s="4">
        <v>2957.1611686669944</v>
      </c>
      <c r="Q36" s="4">
        <v>3851.8030585421939</v>
      </c>
      <c r="R36" s="4">
        <v>2836.2109854399018</v>
      </c>
      <c r="S36" s="4">
        <v>3699.3835085264268</v>
      </c>
      <c r="T36" s="4">
        <v>3647.2889528400669</v>
      </c>
      <c r="U36" s="4">
        <v>4201.7531269999999</v>
      </c>
      <c r="V36" s="4">
        <v>2642.059382643245</v>
      </c>
      <c r="W36" s="4">
        <v>4180.0323928314219</v>
      </c>
      <c r="X36" s="4">
        <v>3153.0609184626774</v>
      </c>
      <c r="Y36" s="4">
        <v>2052.242817347209</v>
      </c>
      <c r="Z36" s="4">
        <v>1217.6657860158236</v>
      </c>
      <c r="AA36" s="4">
        <v>5216.9191370618901</v>
      </c>
      <c r="AB36" s="4">
        <v>3738.9129072680853</v>
      </c>
      <c r="AC36" s="4">
        <v>4450.0330645981667</v>
      </c>
      <c r="AD36" s="4">
        <v>3033.3774012443128</v>
      </c>
      <c r="AE36" s="4">
        <v>4566.7274216280821</v>
      </c>
      <c r="AF36" s="4">
        <v>3630.9839342819623</v>
      </c>
      <c r="AG36" s="5">
        <v>4726.0583309670501</v>
      </c>
      <c r="AH36" s="4">
        <f t="shared" si="0"/>
        <v>102073.81628830255</v>
      </c>
      <c r="AI36" s="3">
        <f t="shared" si="1"/>
        <v>31</v>
      </c>
      <c r="AJ36" s="4">
        <f t="shared" si="2"/>
        <v>3292.703751235566</v>
      </c>
    </row>
    <row r="37" spans="1:36" ht="13" x14ac:dyDescent="0.15">
      <c r="A37" s="3" t="s">
        <v>46</v>
      </c>
      <c r="B37" s="3" t="s">
        <v>13</v>
      </c>
      <c r="C37" s="4">
        <v>8176.7615354046611</v>
      </c>
      <c r="D37" s="4">
        <v>9513.4957744678031</v>
      </c>
      <c r="E37" s="4">
        <v>7020.5387286227933</v>
      </c>
      <c r="F37" s="4">
        <v>6271.0876672705299</v>
      </c>
      <c r="G37" s="4">
        <v>7934.610704940621</v>
      </c>
      <c r="H37" s="4">
        <v>6379.7741420238353</v>
      </c>
      <c r="I37" s="4">
        <v>5700.5434141443866</v>
      </c>
      <c r="J37" s="4">
        <v>6124.7327595070137</v>
      </c>
      <c r="K37" s="4">
        <v>4009.4719597535995</v>
      </c>
      <c r="L37" s="4">
        <v>5661.5447300462765</v>
      </c>
      <c r="M37" s="4">
        <v>5085.5774802520209</v>
      </c>
      <c r="N37" s="4">
        <v>5263.1237051845228</v>
      </c>
      <c r="O37" s="4">
        <v>3400.9890532311606</v>
      </c>
      <c r="P37" s="4">
        <v>3345.313390486921</v>
      </c>
      <c r="Q37" s="4">
        <v>3508.3960864401083</v>
      </c>
      <c r="R37" s="4">
        <v>3717.0409424972781</v>
      </c>
      <c r="S37" s="4">
        <v>4037.1784354078954</v>
      </c>
      <c r="T37" s="4">
        <v>3771.8603484217633</v>
      </c>
      <c r="U37" s="4">
        <v>4511.8053460000001</v>
      </c>
      <c r="V37" s="4">
        <v>4851.2360921090776</v>
      </c>
      <c r="W37" s="4">
        <v>5033.6526331910636</v>
      </c>
      <c r="X37" s="4">
        <v>5468.7016463820337</v>
      </c>
      <c r="Y37" s="4">
        <v>4483.3710145307969</v>
      </c>
      <c r="Z37" s="4">
        <v>4631.6109094031863</v>
      </c>
      <c r="AA37" s="4">
        <v>5463.4450488979955</v>
      </c>
      <c r="AB37" s="4">
        <v>4504.7956013030871</v>
      </c>
      <c r="AC37" s="4">
        <v>5368.5369217582993</v>
      </c>
      <c r="AD37" s="4">
        <v>6274.2173091367313</v>
      </c>
      <c r="AE37" s="4">
        <v>6811.2568081336349</v>
      </c>
      <c r="AF37" s="4">
        <v>7816.9926625869275</v>
      </c>
      <c r="AG37" s="5">
        <v>11027.316468603898</v>
      </c>
      <c r="AH37" s="4">
        <f t="shared" si="0"/>
        <v>175168.97932013989</v>
      </c>
      <c r="AI37" s="3">
        <f t="shared" si="1"/>
        <v>31</v>
      </c>
      <c r="AJ37" s="4">
        <f t="shared" si="2"/>
        <v>5650.6122361335447</v>
      </c>
    </row>
    <row r="38" spans="1:36" ht="13" x14ac:dyDescent="0.15">
      <c r="A38" s="3" t="s">
        <v>47</v>
      </c>
      <c r="B38" s="3" t="s">
        <v>11</v>
      </c>
      <c r="C38" s="4">
        <v>2614.5475847824846</v>
      </c>
      <c r="D38" s="4">
        <v>5389.1814146517627</v>
      </c>
      <c r="E38" s="4">
        <v>5918.1537162929153</v>
      </c>
      <c r="F38" s="4">
        <v>4459.1959943633456</v>
      </c>
      <c r="G38" s="4">
        <v>4681.0138179018486</v>
      </c>
      <c r="H38" s="4">
        <v>4553.0950053812303</v>
      </c>
      <c r="I38" s="4">
        <v>5477.1786610539402</v>
      </c>
      <c r="J38" s="4">
        <v>5271.1933264990566</v>
      </c>
      <c r="K38" s="4">
        <v>6320.41487818107</v>
      </c>
      <c r="L38" s="4">
        <v>5449.32162295136</v>
      </c>
      <c r="M38" s="4">
        <v>3949.0185515294879</v>
      </c>
      <c r="N38" s="4">
        <v>3959.5836076568821</v>
      </c>
      <c r="O38" s="4">
        <v>7280.7132374381454</v>
      </c>
      <c r="P38" s="4">
        <v>6810.4604299919047</v>
      </c>
      <c r="Q38" s="4">
        <v>4731.1138684048328</v>
      </c>
      <c r="R38" s="4">
        <v>3336.0418302854591</v>
      </c>
      <c r="S38" s="4">
        <v>5062.1983026410353</v>
      </c>
      <c r="T38" s="4">
        <v>3668.2829112711711</v>
      </c>
      <c r="U38" s="4">
        <v>4661.5705980000002</v>
      </c>
      <c r="V38" s="4">
        <v>6556.5758019383657</v>
      </c>
      <c r="W38" s="4">
        <v>6364.67019451531</v>
      </c>
      <c r="X38" s="4">
        <v>6061.6092943885988</v>
      </c>
      <c r="Y38" s="4">
        <v>5876.6788630275914</v>
      </c>
      <c r="Z38" s="4">
        <v>5630.6360232370089</v>
      </c>
      <c r="AA38" s="4">
        <v>6307.1785351372664</v>
      </c>
      <c r="AB38" s="4">
        <v>5261.2095368808523</v>
      </c>
      <c r="AC38" s="4">
        <v>5898.2844049571158</v>
      </c>
      <c r="AD38" s="4">
        <v>6069.8469161245057</v>
      </c>
      <c r="AE38" s="4">
        <v>5395.4136489531902</v>
      </c>
      <c r="AF38" s="4">
        <v>4552.7046757155922</v>
      </c>
      <c r="AG38" s="5">
        <v>6463.1383774316037</v>
      </c>
      <c r="AH38" s="4">
        <f t="shared" si="0"/>
        <v>164030.22563158494</v>
      </c>
      <c r="AI38" s="3">
        <f t="shared" si="1"/>
        <v>31</v>
      </c>
      <c r="AJ38" s="4">
        <f t="shared" si="2"/>
        <v>5291.2976010188686</v>
      </c>
    </row>
    <row r="39" spans="1:36" ht="13" x14ac:dyDescent="0.15">
      <c r="A39" s="3" t="s">
        <v>48</v>
      </c>
      <c r="B39" s="3" t="s">
        <v>45</v>
      </c>
      <c r="C39" s="4">
        <v>749.25562611350722</v>
      </c>
      <c r="D39" s="4">
        <v>3756.4675318475897</v>
      </c>
      <c r="E39" s="4">
        <v>3666.8792099000548</v>
      </c>
      <c r="F39" s="4">
        <v>1830.9588294684208</v>
      </c>
      <c r="G39" s="4">
        <v>3781.4958498945134</v>
      </c>
      <c r="H39" s="4">
        <v>3652.4451986091149</v>
      </c>
      <c r="I39" s="4">
        <v>4892.7764752782041</v>
      </c>
      <c r="J39" s="4">
        <v>3951.8185206995686</v>
      </c>
      <c r="K39" s="4">
        <v>4019.3239898179263</v>
      </c>
      <c r="L39" s="4">
        <v>3602.2521030724829</v>
      </c>
      <c r="M39" s="4">
        <v>3369.8802952662063</v>
      </c>
      <c r="N39" s="4">
        <v>2472.4318559437975</v>
      </c>
      <c r="O39" s="4">
        <v>3265.0128946978662</v>
      </c>
      <c r="P39" s="4">
        <v>3424.1085392303066</v>
      </c>
      <c r="Q39" s="4">
        <v>4494.5405955776014</v>
      </c>
      <c r="R39" s="4">
        <v>3252.9760763741674</v>
      </c>
      <c r="S39" s="4">
        <v>3220.202320771376</v>
      </c>
      <c r="T39" s="4">
        <v>3289.9135159363832</v>
      </c>
      <c r="U39" s="4">
        <v>3408.8437990000002</v>
      </c>
      <c r="V39" s="4">
        <v>4667.3008149069428</v>
      </c>
      <c r="W39" s="4">
        <v>4043.7269887173538</v>
      </c>
      <c r="X39" s="4">
        <v>5008.1434201211232</v>
      </c>
      <c r="Y39" s="4">
        <v>2972.3543321446</v>
      </c>
      <c r="Z39" s="4">
        <v>3124.9781584612374</v>
      </c>
      <c r="AA39" s="4">
        <v>4491.9440447763709</v>
      </c>
      <c r="AB39" s="4">
        <v>4770.1029133060492</v>
      </c>
      <c r="AC39" s="4">
        <v>4354.417028482203</v>
      </c>
      <c r="AD39" s="4">
        <v>3885.3945720004667</v>
      </c>
      <c r="AE39" s="4">
        <v>4332.8420153581646</v>
      </c>
      <c r="AF39" s="4">
        <v>4022.3541110152551</v>
      </c>
      <c r="AG39" s="5">
        <v>4419.2619801813462</v>
      </c>
      <c r="AH39" s="4">
        <f t="shared" si="0"/>
        <v>114194.40360697023</v>
      </c>
      <c r="AI39" s="3">
        <f t="shared" si="1"/>
        <v>31</v>
      </c>
      <c r="AJ39" s="4">
        <f t="shared" si="2"/>
        <v>3683.6904389345236</v>
      </c>
    </row>
    <row r="40" spans="1:36" ht="13" x14ac:dyDescent="0.15">
      <c r="A40" s="3" t="s">
        <v>49</v>
      </c>
      <c r="B40" s="3" t="s">
        <v>45</v>
      </c>
      <c r="C40" s="4">
        <v>239.41513590614147</v>
      </c>
      <c r="D40" s="4">
        <v>3341.2219151502136</v>
      </c>
      <c r="E40" s="4">
        <v>2806.8230338350486</v>
      </c>
      <c r="F40" s="4">
        <v>2352.2011570698246</v>
      </c>
      <c r="G40" s="4">
        <v>4341.1459648542414</v>
      </c>
      <c r="H40" s="4">
        <v>2564.9049729838648</v>
      </c>
      <c r="I40" s="4">
        <v>3361.5037237787815</v>
      </c>
      <c r="J40" s="4">
        <v>3413.7054838388258</v>
      </c>
      <c r="K40" s="4">
        <v>3044.3103326738042</v>
      </c>
      <c r="L40" s="4">
        <v>3831.6898202455418</v>
      </c>
      <c r="M40" s="4">
        <v>2506.0357941585744</v>
      </c>
      <c r="N40" s="4">
        <v>1773.0112934869694</v>
      </c>
      <c r="O40" s="4">
        <v>3752.6617610154617</v>
      </c>
      <c r="P40" s="4">
        <v>2642.0750004771489</v>
      </c>
      <c r="Q40" s="4">
        <v>3853.086992895041</v>
      </c>
      <c r="R40" s="4">
        <v>3761.9276538428758</v>
      </c>
      <c r="S40" s="4">
        <v>2860.6855061332967</v>
      </c>
      <c r="T40" s="4">
        <v>2728.8327598075862</v>
      </c>
      <c r="U40" s="4">
        <v>3532.7775259999999</v>
      </c>
      <c r="V40" s="4">
        <v>3520.7212769475886</v>
      </c>
      <c r="W40" s="4">
        <v>3673.7935842578709</v>
      </c>
      <c r="X40" s="4">
        <v>2474.9702633063876</v>
      </c>
      <c r="Y40" s="4">
        <v>2843.9192684099571</v>
      </c>
      <c r="Z40" s="4">
        <v>1851.0704101316783</v>
      </c>
      <c r="AA40" s="4">
        <v>3233.1692632579939</v>
      </c>
      <c r="AB40" s="4">
        <v>4479.3589590344754</v>
      </c>
      <c r="AC40" s="4">
        <v>3867.3344821625078</v>
      </c>
      <c r="AD40" s="4">
        <v>3437.7822877638309</v>
      </c>
      <c r="AE40" s="4">
        <v>4240.8139058985917</v>
      </c>
      <c r="AF40" s="4">
        <v>3886.8158557584702</v>
      </c>
      <c r="AG40" s="5">
        <v>4229.884960014534</v>
      </c>
      <c r="AH40" s="4">
        <f t="shared" si="0"/>
        <v>98447.650345097136</v>
      </c>
      <c r="AI40" s="3">
        <f t="shared" si="1"/>
        <v>31</v>
      </c>
      <c r="AJ40" s="4">
        <f t="shared" si="2"/>
        <v>3175.7306562934559</v>
      </c>
    </row>
    <row r="41" spans="1:36" ht="13" x14ac:dyDescent="0.15">
      <c r="A41" s="3" t="s">
        <v>50</v>
      </c>
      <c r="B41" s="3" t="s">
        <v>11</v>
      </c>
      <c r="C41" s="4">
        <v>2949.2991180875492</v>
      </c>
      <c r="D41" s="4">
        <v>6562.5013252553381</v>
      </c>
      <c r="E41" s="4">
        <v>7387.4247328635265</v>
      </c>
      <c r="F41" s="4">
        <v>5450.4020832366496</v>
      </c>
      <c r="G41" s="4">
        <v>6347.0800570243146</v>
      </c>
      <c r="H41" s="4">
        <v>3240.8713709750068</v>
      </c>
      <c r="I41" s="4">
        <v>7233.0368682416893</v>
      </c>
      <c r="J41" s="4">
        <v>6805.7777915306215</v>
      </c>
      <c r="K41" s="4">
        <v>5987.9157236765941</v>
      </c>
      <c r="L41" s="4">
        <v>6186.4250507907082</v>
      </c>
      <c r="M41" s="4">
        <v>6759.302527546718</v>
      </c>
      <c r="N41" s="4">
        <v>4686.7949385265483</v>
      </c>
      <c r="O41" s="4">
        <v>4948.3433803328089</v>
      </c>
      <c r="P41" s="4">
        <v>5954.2760327960932</v>
      </c>
      <c r="Q41" s="4">
        <v>3998.9413494678656</v>
      </c>
      <c r="R41" s="4">
        <v>5803.6852904419666</v>
      </c>
      <c r="S41" s="4">
        <v>5938.6151861372491</v>
      </c>
      <c r="T41" s="4">
        <v>4589.2686940991962</v>
      </c>
      <c r="U41" s="4">
        <v>5560.1530130000001</v>
      </c>
      <c r="V41" s="4">
        <v>7919.281994805966</v>
      </c>
      <c r="W41" s="4">
        <v>8287.4551797980275</v>
      </c>
      <c r="X41" s="4">
        <v>7982.8481490113609</v>
      </c>
      <c r="Y41" s="4">
        <v>8103.5233985572095</v>
      </c>
      <c r="Z41" s="4">
        <v>9394.9815749307963</v>
      </c>
      <c r="AA41" s="4">
        <v>9316.8201844865507</v>
      </c>
      <c r="AB41" s="4">
        <v>9346.1356151644995</v>
      </c>
      <c r="AC41" s="4">
        <v>5881.1554655481032</v>
      </c>
      <c r="AD41" s="4">
        <v>8840.3129093609714</v>
      </c>
      <c r="AE41" s="4">
        <v>9176.6588105764768</v>
      </c>
      <c r="AF41" s="4">
        <v>7764.2071631798335</v>
      </c>
      <c r="AG41" s="5">
        <v>8782.5998348229896</v>
      </c>
      <c r="AH41" s="4">
        <f t="shared" si="0"/>
        <v>207186.09481427324</v>
      </c>
      <c r="AI41" s="3">
        <f t="shared" si="1"/>
        <v>31</v>
      </c>
      <c r="AJ41" s="4">
        <f t="shared" si="2"/>
        <v>6683.4224133636526</v>
      </c>
    </row>
    <row r="42" spans="1:36" ht="13" x14ac:dyDescent="0.15">
      <c r="A42" s="3" t="s">
        <v>51</v>
      </c>
      <c r="B42" s="3" t="s">
        <v>45</v>
      </c>
      <c r="C42" s="4">
        <v>876.14023151172819</v>
      </c>
      <c r="D42" s="4">
        <v>6370.806198957981</v>
      </c>
      <c r="E42" s="4">
        <v>7472.6411688286526</v>
      </c>
      <c r="F42" s="4">
        <v>4562.1724707126714</v>
      </c>
      <c r="G42" s="4">
        <v>6572.9034240067604</v>
      </c>
      <c r="H42" s="4">
        <v>7117.8070221758326</v>
      </c>
      <c r="I42" s="4">
        <v>5933.2549264844247</v>
      </c>
      <c r="J42" s="4">
        <v>7586.2535196583658</v>
      </c>
      <c r="K42" s="4">
        <v>6841.274515603267</v>
      </c>
      <c r="L42" s="4">
        <v>5307.0462907782239</v>
      </c>
      <c r="M42" s="4">
        <v>6882.8302865179112</v>
      </c>
      <c r="N42" s="4">
        <v>6590.4191599665528</v>
      </c>
      <c r="O42" s="4">
        <v>7891.7622462826039</v>
      </c>
      <c r="P42" s="4">
        <v>8480.2084692734297</v>
      </c>
      <c r="Q42" s="4">
        <v>6517.2507750533914</v>
      </c>
      <c r="R42" s="4">
        <v>7309.4382707602363</v>
      </c>
      <c r="S42" s="4">
        <v>9024.709959875252</v>
      </c>
      <c r="T42" s="4">
        <v>7884.1747661204181</v>
      </c>
      <c r="U42" s="4">
        <v>8051.1613349999998</v>
      </c>
      <c r="V42" s="4">
        <v>7449.0552913451183</v>
      </c>
      <c r="W42" s="4">
        <v>8422.437278275198</v>
      </c>
      <c r="X42" s="4">
        <v>7748.2601982988754</v>
      </c>
      <c r="Y42" s="4">
        <v>7446.5154942022236</v>
      </c>
      <c r="Z42" s="4">
        <v>7320.4647355251755</v>
      </c>
      <c r="AA42" s="4">
        <v>10573.220057342316</v>
      </c>
      <c r="AB42" s="4">
        <v>11139.297575105753</v>
      </c>
      <c r="AC42" s="4">
        <v>10364.38275647583</v>
      </c>
      <c r="AD42" s="4">
        <v>7819.0396764673669</v>
      </c>
      <c r="AE42" s="4">
        <v>11844.386893829782</v>
      </c>
      <c r="AF42" s="4">
        <v>11063.635765191753</v>
      </c>
      <c r="AG42" s="5">
        <v>10269.701046200656</v>
      </c>
      <c r="AH42" s="4">
        <f t="shared" si="0"/>
        <v>238732.65180582774</v>
      </c>
      <c r="AI42" s="3">
        <f t="shared" si="1"/>
        <v>31</v>
      </c>
      <c r="AJ42" s="4">
        <f t="shared" si="2"/>
        <v>7701.0532840589594</v>
      </c>
    </row>
    <row r="43" spans="1:36" ht="13" x14ac:dyDescent="0.15">
      <c r="A43" s="3" t="s">
        <v>52</v>
      </c>
      <c r="B43" s="3" t="s">
        <v>45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>
        <v>1914.3461200954703</v>
      </c>
      <c r="R43" s="4">
        <v>2696.2621409795356</v>
      </c>
      <c r="S43" s="4">
        <v>4658.2695793236926</v>
      </c>
      <c r="T43" s="4">
        <v>3307.8681001325049</v>
      </c>
      <c r="U43" s="4">
        <v>4584.8815830000003</v>
      </c>
      <c r="V43" s="4">
        <v>3781.890365346806</v>
      </c>
      <c r="W43" s="4">
        <v>4185.9470257515586</v>
      </c>
      <c r="X43" s="4">
        <v>4130.2497763702022</v>
      </c>
      <c r="Y43" s="4">
        <v>3643.8862368143059</v>
      </c>
      <c r="Z43" s="4">
        <v>1363.7310764908159</v>
      </c>
      <c r="AA43" s="4">
        <v>4416.2873959087219</v>
      </c>
      <c r="AB43" s="4">
        <v>4490.9072002088142</v>
      </c>
      <c r="AC43" s="4">
        <v>5281.2515012467866</v>
      </c>
      <c r="AD43" s="4">
        <v>5087.5688554861927</v>
      </c>
      <c r="AE43" s="4">
        <v>5633.0228034168822</v>
      </c>
      <c r="AF43" s="4">
        <v>5683.4599673627208</v>
      </c>
      <c r="AG43" s="5">
        <v>6624.5978213610188</v>
      </c>
      <c r="AH43" s="4">
        <f t="shared" si="0"/>
        <v>71484.42754929603</v>
      </c>
      <c r="AI43" s="3">
        <f t="shared" si="1"/>
        <v>17</v>
      </c>
      <c r="AJ43" s="4">
        <f t="shared" si="2"/>
        <v>4204.9663264291785</v>
      </c>
    </row>
    <row r="44" spans="1:36" ht="13" x14ac:dyDescent="0.15">
      <c r="A44" s="3" t="s">
        <v>53</v>
      </c>
      <c r="B44" s="3" t="s">
        <v>45</v>
      </c>
      <c r="C44" s="4">
        <v>2303.0165250880927</v>
      </c>
      <c r="D44" s="4">
        <v>7945.4891239415947</v>
      </c>
      <c r="E44" s="4">
        <v>8214.4195509232995</v>
      </c>
      <c r="F44" s="4">
        <v>6025.7375919485885</v>
      </c>
      <c r="G44" s="4">
        <v>8872.2858311189302</v>
      </c>
      <c r="H44" s="4">
        <v>8846.9109430222325</v>
      </c>
      <c r="I44" s="4">
        <v>9959.0798885776694</v>
      </c>
      <c r="J44" s="4">
        <v>8348.8970718994497</v>
      </c>
      <c r="K44" s="4">
        <v>8363.9645221251085</v>
      </c>
      <c r="L44" s="4">
        <v>8115.726359307886</v>
      </c>
      <c r="M44" s="4">
        <v>6066.2345194221416</v>
      </c>
      <c r="N44" s="4">
        <v>6142.7371137512746</v>
      </c>
      <c r="O44" s="4">
        <v>7912.7929251534433</v>
      </c>
      <c r="P44" s="4">
        <v>7875.4754669648037</v>
      </c>
      <c r="Q44" s="4">
        <v>7373.3782015320367</v>
      </c>
      <c r="R44" s="4">
        <v>5804.6672092230856</v>
      </c>
      <c r="S44" s="4">
        <v>6748.5993180387595</v>
      </c>
      <c r="T44" s="4">
        <v>8451.32839631555</v>
      </c>
      <c r="U44" s="4">
        <v>10642.30906</v>
      </c>
      <c r="V44" s="4">
        <v>7770.2865215208994</v>
      </c>
      <c r="W44" s="4">
        <v>8503.3602105007103</v>
      </c>
      <c r="X44" s="4">
        <v>7255.2601336559392</v>
      </c>
      <c r="Y44" s="4">
        <v>6692.2143262368591</v>
      </c>
      <c r="Z44" s="4">
        <v>5785.2775797478262</v>
      </c>
      <c r="AA44" s="4">
        <v>8751.4947272603567</v>
      </c>
      <c r="AB44" s="4">
        <v>7469.6741148836963</v>
      </c>
      <c r="AC44" s="4">
        <v>8967.7202717263153</v>
      </c>
      <c r="AD44" s="4">
        <v>7288.0112174582528</v>
      </c>
      <c r="AE44" s="4">
        <v>10326.139141852236</v>
      </c>
      <c r="AF44" s="4">
        <v>10251.293191558654</v>
      </c>
      <c r="AG44" s="5">
        <v>11148.694903663574</v>
      </c>
      <c r="AH44" s="4">
        <f t="shared" si="0"/>
        <v>244222.47595841927</v>
      </c>
      <c r="AI44" s="3">
        <f t="shared" si="1"/>
        <v>31</v>
      </c>
      <c r="AJ44" s="4">
        <f t="shared" si="2"/>
        <v>7878.1443857554605</v>
      </c>
    </row>
    <row r="45" spans="1:36" ht="13" x14ac:dyDescent="0.15">
      <c r="A45" s="3" t="s">
        <v>54</v>
      </c>
      <c r="B45" s="3" t="s">
        <v>45</v>
      </c>
      <c r="C45" s="4">
        <v>64.999584408907182</v>
      </c>
      <c r="D45" s="4">
        <v>2317.4828033120384</v>
      </c>
      <c r="E45" s="4">
        <v>1499.4787749160735</v>
      </c>
      <c r="F45" s="4">
        <v>2009.1133939112271</v>
      </c>
      <c r="G45" s="4">
        <v>1654.9327542347844</v>
      </c>
      <c r="H45" s="4">
        <v>2752.6632519766317</v>
      </c>
      <c r="I45" s="4">
        <v>2979.4711893634708</v>
      </c>
      <c r="J45" s="4">
        <v>2595.6759278038012</v>
      </c>
      <c r="K45" s="4">
        <v>2869.6850122911624</v>
      </c>
      <c r="L45" s="4">
        <v>2666.7804350863939</v>
      </c>
      <c r="M45" s="4">
        <v>1834.4949639731713</v>
      </c>
      <c r="N45" s="4">
        <v>1792.8436345774276</v>
      </c>
      <c r="O45" s="4">
        <v>2547.3409782304607</v>
      </c>
      <c r="P45" s="4">
        <v>2182.3591157411443</v>
      </c>
      <c r="Q45" s="4">
        <v>2372.7106840619913</v>
      </c>
      <c r="R45" s="4">
        <v>2380.4142901790756</v>
      </c>
      <c r="S45" s="4">
        <v>2733.689398996029</v>
      </c>
      <c r="T45" s="4">
        <v>2190.1952339239406</v>
      </c>
      <c r="U45" s="4">
        <v>3528.7796640000001</v>
      </c>
      <c r="V45" s="4">
        <v>2010.9344951214155</v>
      </c>
      <c r="W45" s="4">
        <v>2963.3655164641336</v>
      </c>
      <c r="X45" s="4">
        <v>2142.9982040365485</v>
      </c>
      <c r="Y45" s="4">
        <v>2473.8360106856885</v>
      </c>
      <c r="Z45" s="4">
        <v>1360.7278649109564</v>
      </c>
      <c r="AA45" s="4">
        <v>1991.0714849846365</v>
      </c>
      <c r="AB45" s="4">
        <v>2469.9649946996287</v>
      </c>
      <c r="AC45" s="4">
        <v>2342.2518861388417</v>
      </c>
      <c r="AD45" s="4">
        <v>1865.4146534904366</v>
      </c>
      <c r="AE45" s="4">
        <v>2307.6766348287697</v>
      </c>
      <c r="AF45" s="4">
        <v>2304.1503393653402</v>
      </c>
      <c r="AG45" s="5">
        <v>2810.5613695478346</v>
      </c>
      <c r="AH45" s="4">
        <f t="shared" si="0"/>
        <v>70016.064545261965</v>
      </c>
      <c r="AI45" s="3">
        <f t="shared" si="1"/>
        <v>31</v>
      </c>
      <c r="AJ45" s="4">
        <f t="shared" si="2"/>
        <v>2258.5827272665151</v>
      </c>
    </row>
    <row r="46" spans="1:36" ht="13" x14ac:dyDescent="0.15">
      <c r="A46" s="3" t="s">
        <v>55</v>
      </c>
      <c r="B46" s="3" t="s">
        <v>27</v>
      </c>
      <c r="C46" s="4">
        <v>2857.9645066895223</v>
      </c>
      <c r="D46" s="4">
        <v>4670.6460460709322</v>
      </c>
      <c r="E46" s="4">
        <v>3842.7541688120227</v>
      </c>
      <c r="F46" s="4">
        <v>3794.2031746925545</v>
      </c>
      <c r="G46" s="4">
        <v>5979.923771801281</v>
      </c>
      <c r="H46" s="4">
        <v>4333.9680266312671</v>
      </c>
      <c r="I46" s="4">
        <v>4285.8160870822167</v>
      </c>
      <c r="J46" s="4">
        <v>3549.0368129248336</v>
      </c>
      <c r="K46" s="4">
        <v>3828.4103756019222</v>
      </c>
      <c r="L46" s="4">
        <v>4375.4020054015709</v>
      </c>
      <c r="M46" s="4">
        <v>4470.4613214408073</v>
      </c>
      <c r="N46" s="4">
        <v>4355.9883457032856</v>
      </c>
      <c r="O46" s="4">
        <v>3100.7656904285509</v>
      </c>
      <c r="P46" s="4">
        <v>4310.7073752359402</v>
      </c>
      <c r="Q46" s="4">
        <v>4027.3396769574629</v>
      </c>
      <c r="R46" s="4">
        <v>3636.2289668197245</v>
      </c>
      <c r="S46" s="4">
        <v>3219.5146470346235</v>
      </c>
      <c r="T46" s="4">
        <v>4570.6450494088185</v>
      </c>
      <c r="U46" s="4">
        <v>5051.7389050000002</v>
      </c>
      <c r="V46" s="4">
        <v>5079.7353855105084</v>
      </c>
      <c r="W46" s="4">
        <v>4922.9619654657736</v>
      </c>
      <c r="X46" s="4">
        <v>7377.9521635051951</v>
      </c>
      <c r="Y46" s="4">
        <v>6475.5968472269278</v>
      </c>
      <c r="Z46" s="4">
        <v>4644.6701581270945</v>
      </c>
      <c r="AA46" s="4">
        <v>4726.1227519627855</v>
      </c>
      <c r="AB46" s="4">
        <v>5022.8134541428826</v>
      </c>
      <c r="AC46" s="4">
        <v>6050.5889719935258</v>
      </c>
      <c r="AD46" s="4">
        <v>5653.4551607572521</v>
      </c>
      <c r="AE46" s="4">
        <v>6380.6698721808389</v>
      </c>
      <c r="AF46" s="4">
        <v>5062.1605905930228</v>
      </c>
      <c r="AG46" s="5">
        <v>7371.5329573739273</v>
      </c>
      <c r="AH46" s="4">
        <f t="shared" si="0"/>
        <v>147029.77523257709</v>
      </c>
      <c r="AI46" s="3">
        <f t="shared" si="1"/>
        <v>31</v>
      </c>
      <c r="AJ46" s="4">
        <f t="shared" si="2"/>
        <v>4742.8959752444225</v>
      </c>
    </row>
    <row r="47" spans="1:36" ht="13" x14ac:dyDescent="0.15">
      <c r="A47" s="3" t="s">
        <v>56</v>
      </c>
      <c r="B47" s="3" t="s">
        <v>27</v>
      </c>
      <c r="C47" s="4">
        <v>4010.0686185185664</v>
      </c>
      <c r="D47" s="4">
        <v>12740.898731592815</v>
      </c>
      <c r="E47" s="4">
        <v>13137.171079387821</v>
      </c>
      <c r="F47" s="4">
        <v>11876.056365870865</v>
      </c>
      <c r="G47" s="4">
        <v>13479.212390274699</v>
      </c>
      <c r="H47" s="4">
        <v>10831.444490979846</v>
      </c>
      <c r="I47" s="4">
        <v>11746.961066168506</v>
      </c>
      <c r="J47" s="4">
        <v>15471.181915547111</v>
      </c>
      <c r="K47" s="4">
        <v>13808.911545313433</v>
      </c>
      <c r="L47" s="4">
        <v>13267.682616951493</v>
      </c>
      <c r="M47" s="4">
        <v>13328.655165689379</v>
      </c>
      <c r="N47" s="4">
        <v>12888.041583094142</v>
      </c>
      <c r="O47" s="4">
        <v>12717.381885866242</v>
      </c>
      <c r="P47" s="4">
        <v>15286.915318052505</v>
      </c>
      <c r="Q47" s="4">
        <v>12681.057868140006</v>
      </c>
      <c r="R47" s="4">
        <v>10873.412221034896</v>
      </c>
      <c r="S47" s="4">
        <v>11748.349688069469</v>
      </c>
      <c r="T47" s="4">
        <v>15107.832200251023</v>
      </c>
      <c r="U47" s="4">
        <v>15236.586160000001</v>
      </c>
      <c r="V47" s="4">
        <v>13584.750445712143</v>
      </c>
      <c r="W47" s="4">
        <v>15997.076724707904</v>
      </c>
      <c r="X47" s="4">
        <v>17261.906493164464</v>
      </c>
      <c r="Y47" s="4">
        <v>18760.629816383764</v>
      </c>
      <c r="Z47" s="4">
        <v>16779.914481805903</v>
      </c>
      <c r="AA47" s="4">
        <v>16239.142429335452</v>
      </c>
      <c r="AB47" s="4">
        <v>15513.737276375181</v>
      </c>
      <c r="AC47" s="4">
        <v>15930.077907028071</v>
      </c>
      <c r="AD47" s="4">
        <v>13610.012038074681</v>
      </c>
      <c r="AE47" s="4">
        <v>19339.757504859885</v>
      </c>
      <c r="AF47" s="4">
        <v>20518.55649027602</v>
      </c>
      <c r="AG47" s="5">
        <v>23082.774749777851</v>
      </c>
      <c r="AH47" s="4">
        <f t="shared" si="0"/>
        <v>446856.15726830414</v>
      </c>
      <c r="AI47" s="3">
        <f t="shared" si="1"/>
        <v>31</v>
      </c>
      <c r="AJ47" s="4">
        <f t="shared" si="2"/>
        <v>14414.714750590456</v>
      </c>
    </row>
    <row r="48" spans="1:36" ht="13" x14ac:dyDescent="0.15">
      <c r="A48" s="3" t="s">
        <v>57</v>
      </c>
      <c r="B48" s="3" t="s">
        <v>6</v>
      </c>
      <c r="C48" s="4">
        <v>15347.272654630628</v>
      </c>
      <c r="D48" s="4">
        <v>10425.813631028363</v>
      </c>
      <c r="E48" s="4">
        <v>10328.206384428582</v>
      </c>
      <c r="F48" s="4">
        <v>9249.5360537154193</v>
      </c>
      <c r="G48" s="4">
        <v>3654.8645655957839</v>
      </c>
      <c r="H48" s="4">
        <v>164.76150757777492</v>
      </c>
      <c r="I48" s="4">
        <v>4628.5859450294693</v>
      </c>
      <c r="J48" s="4">
        <v>7791.6372450081335</v>
      </c>
      <c r="K48" s="4">
        <v>5951.5335424398045</v>
      </c>
      <c r="L48" s="4">
        <v>6342.7503722236224</v>
      </c>
      <c r="M48" s="4">
        <v>6138.686981881624</v>
      </c>
      <c r="N48" s="4">
        <v>7060.276511928203</v>
      </c>
      <c r="O48" s="4">
        <v>6213.5611725971994</v>
      </c>
      <c r="P48" s="4">
        <v>5877.2124901187335</v>
      </c>
      <c r="Q48" s="4">
        <v>4409.6306042146816</v>
      </c>
      <c r="R48" s="4">
        <v>6096.2886078894653</v>
      </c>
      <c r="S48" s="4">
        <v>6435.1923385277078</v>
      </c>
      <c r="T48" s="4">
        <v>5312.2940352068117</v>
      </c>
      <c r="U48" s="4">
        <v>6306.8474699999997</v>
      </c>
      <c r="V48" s="4">
        <v>7272.5494783462746</v>
      </c>
      <c r="W48" s="4">
        <v>9462.3201587649437</v>
      </c>
      <c r="X48" s="4">
        <v>6950.0956726510949</v>
      </c>
      <c r="Y48" s="4">
        <v>9034.6125496292407</v>
      </c>
      <c r="Z48" s="4">
        <v>9041.9166094424854</v>
      </c>
      <c r="AA48" s="4">
        <v>8589.8170002768456</v>
      </c>
      <c r="AB48" s="4">
        <v>10255.820918563086</v>
      </c>
      <c r="AC48" s="4">
        <v>10334.440470910778</v>
      </c>
      <c r="AD48" s="4">
        <v>10693.873236493486</v>
      </c>
      <c r="AE48" s="4">
        <v>11709.398544616286</v>
      </c>
      <c r="AF48" s="4">
        <v>10326.146727870955</v>
      </c>
      <c r="AG48" s="5">
        <v>13839.895289319858</v>
      </c>
      <c r="AH48" s="4">
        <f t="shared" si="0"/>
        <v>245245.83877092731</v>
      </c>
      <c r="AI48" s="3">
        <f t="shared" si="1"/>
        <v>31</v>
      </c>
      <c r="AJ48" s="4">
        <f t="shared" si="2"/>
        <v>7911.1560893847518</v>
      </c>
    </row>
    <row r="49" spans="1:36" ht="13" x14ac:dyDescent="0.15">
      <c r="A49" s="3" t="s">
        <v>58</v>
      </c>
      <c r="B49" s="3" t="s">
        <v>45</v>
      </c>
      <c r="C49" s="4">
        <v>691.70391075145403</v>
      </c>
      <c r="D49" s="4">
        <v>4260.5393663558025</v>
      </c>
      <c r="E49" s="4">
        <v>4905.9862799899765</v>
      </c>
      <c r="F49" s="4">
        <v>4566.312494324161</v>
      </c>
      <c r="G49" s="4">
        <v>5144.8631042953275</v>
      </c>
      <c r="H49" s="4">
        <v>4128.2524836195416</v>
      </c>
      <c r="I49" s="4">
        <v>3809.1212426430725</v>
      </c>
      <c r="J49" s="4">
        <v>3546.7404929517238</v>
      </c>
      <c r="K49" s="4">
        <v>3656.7023444291635</v>
      </c>
      <c r="L49" s="4">
        <v>3000.5443616360526</v>
      </c>
      <c r="M49" s="4">
        <v>2052.6067669186864</v>
      </c>
      <c r="N49" s="4">
        <v>2497.552821325045</v>
      </c>
      <c r="O49" s="4">
        <v>6798.1669449989386</v>
      </c>
      <c r="P49" s="4">
        <v>3874.0102646292503</v>
      </c>
      <c r="Q49" s="4">
        <v>3449.9316061009581</v>
      </c>
      <c r="R49" s="4">
        <v>3216.2555538827319</v>
      </c>
      <c r="S49" s="4">
        <v>3791.553879067289</v>
      </c>
      <c r="T49" s="4">
        <v>3285.9529458931211</v>
      </c>
      <c r="U49" s="4">
        <v>3688.6941499999998</v>
      </c>
      <c r="V49" s="4">
        <v>2803.3498532567151</v>
      </c>
      <c r="W49" s="4">
        <v>3681.8589927853309</v>
      </c>
      <c r="X49" s="4">
        <v>3827.6486216948538</v>
      </c>
      <c r="Y49" s="4">
        <v>3289.7044631714698</v>
      </c>
      <c r="Z49" s="4">
        <v>1163.0619391092846</v>
      </c>
      <c r="AA49" s="4">
        <v>3705.5487698079751</v>
      </c>
      <c r="AB49" s="4">
        <v>4216.466645242188</v>
      </c>
      <c r="AC49" s="4">
        <v>3886.0894107872509</v>
      </c>
      <c r="AD49" s="4">
        <v>3557.4545123557209</v>
      </c>
      <c r="AE49" s="4">
        <v>3940.9362773029829</v>
      </c>
      <c r="AF49" s="4">
        <v>5475.8120342171733</v>
      </c>
      <c r="AG49" s="5">
        <v>3896.3136549784413</v>
      </c>
      <c r="AH49" s="4">
        <f t="shared" si="0"/>
        <v>113809.7361885217</v>
      </c>
      <c r="AI49" s="3">
        <f t="shared" si="1"/>
        <v>31</v>
      </c>
      <c r="AJ49" s="4">
        <f t="shared" si="2"/>
        <v>3671.2818125329582</v>
      </c>
    </row>
    <row r="50" spans="1:36" ht="13" x14ac:dyDescent="0.15">
      <c r="A50" s="3" t="s">
        <v>59</v>
      </c>
      <c r="B50" s="3" t="s">
        <v>45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>
        <v>488.66541469371964</v>
      </c>
      <c r="R50" s="4">
        <v>2332.9087191237222</v>
      </c>
      <c r="S50" s="4">
        <v>2567.0233738560892</v>
      </c>
      <c r="T50" s="4">
        <v>2698.46838947591</v>
      </c>
      <c r="U50" s="4">
        <v>2132.859461</v>
      </c>
      <c r="V50" s="4">
        <v>1546.7688646279228</v>
      </c>
      <c r="W50" s="4">
        <v>2267.7240309707386</v>
      </c>
      <c r="X50" s="4">
        <v>2663.5907515278868</v>
      </c>
      <c r="Y50" s="4">
        <v>1255.809512072067</v>
      </c>
      <c r="Z50" s="4">
        <v>861.37568495065557</v>
      </c>
      <c r="AA50" s="4">
        <v>2611.3746544640176</v>
      </c>
      <c r="AB50" s="4">
        <v>1883.8577896867466</v>
      </c>
      <c r="AC50" s="4">
        <v>2032.2158660367229</v>
      </c>
      <c r="AD50" s="4">
        <v>1508.8513966198402</v>
      </c>
      <c r="AE50" s="4">
        <v>2662.3882484069768</v>
      </c>
      <c r="AF50" s="4">
        <v>2504.2702172700406</v>
      </c>
      <c r="AG50" s="5">
        <v>2386.0388917924529</v>
      </c>
      <c r="AH50" s="4">
        <f t="shared" si="0"/>
        <v>34404.191266575515</v>
      </c>
      <c r="AI50" s="3">
        <f t="shared" si="1"/>
        <v>17</v>
      </c>
      <c r="AJ50" s="4">
        <f t="shared" si="2"/>
        <v>2023.7759568573833</v>
      </c>
    </row>
    <row r="51" spans="1:36" ht="13" x14ac:dyDescent="0.15">
      <c r="A51" s="3" t="s">
        <v>60</v>
      </c>
      <c r="B51" s="3" t="s">
        <v>6</v>
      </c>
      <c r="C51" s="4">
        <v>5813.9238552064799</v>
      </c>
      <c r="D51" s="4">
        <v>7191.7198415793855</v>
      </c>
      <c r="E51" s="4">
        <v>5933.6694070943922</v>
      </c>
      <c r="F51" s="4">
        <v>5061.4733384678193</v>
      </c>
      <c r="G51" s="4">
        <v>6116.5189637012954</v>
      </c>
      <c r="H51" s="4">
        <v>5230.310023113424</v>
      </c>
      <c r="I51" s="4">
        <v>4708.0140311413934</v>
      </c>
      <c r="J51" s="4">
        <v>4434.7935193494186</v>
      </c>
      <c r="K51" s="4">
        <v>2584.8156819757942</v>
      </c>
      <c r="L51" s="4">
        <v>3819.2548381356687</v>
      </c>
      <c r="M51" s="4">
        <v>5988.1504371367746</v>
      </c>
      <c r="N51" s="4">
        <v>5039.9030118477795</v>
      </c>
      <c r="O51" s="4">
        <v>4487.6172983931401</v>
      </c>
      <c r="P51" s="4">
        <v>3277.2754734200921</v>
      </c>
      <c r="Q51" s="4">
        <v>5343.5606355018817</v>
      </c>
      <c r="R51" s="4">
        <v>5092.1643619583838</v>
      </c>
      <c r="S51" s="4">
        <v>6162.1346553574786</v>
      </c>
      <c r="T51" s="4">
        <v>4678.6506913575031</v>
      </c>
      <c r="U51" s="4">
        <v>6059.6332730000004</v>
      </c>
      <c r="V51" s="4">
        <v>5988.4520846807081</v>
      </c>
      <c r="W51" s="4">
        <v>5188.2581314493063</v>
      </c>
      <c r="X51" s="4">
        <v>5502.0281861887115</v>
      </c>
      <c r="Y51" s="4">
        <v>7016.1581608918268</v>
      </c>
      <c r="Z51" s="4">
        <v>4281.8512669290203</v>
      </c>
      <c r="AA51" s="4">
        <v>6670.7667266832468</v>
      </c>
      <c r="AB51" s="4">
        <v>6632.5453027874273</v>
      </c>
      <c r="AC51" s="4">
        <v>5650.1721232292139</v>
      </c>
      <c r="AD51" s="4">
        <v>7699.6796643702482</v>
      </c>
      <c r="AE51" s="4">
        <v>6750.0275421906454</v>
      </c>
      <c r="AF51" s="4">
        <v>5453.831426177805</v>
      </c>
      <c r="AG51" s="5">
        <v>6887.5492662877141</v>
      </c>
      <c r="AH51" s="4">
        <f t="shared" si="0"/>
        <v>170744.90321960399</v>
      </c>
      <c r="AI51" s="3">
        <f t="shared" si="1"/>
        <v>31</v>
      </c>
      <c r="AJ51" s="4">
        <f t="shared" si="2"/>
        <v>5507.9001038581937</v>
      </c>
    </row>
    <row r="52" spans="1:36" ht="13" x14ac:dyDescent="0.15">
      <c r="A52" s="3" t="s">
        <v>61</v>
      </c>
      <c r="B52" s="3" t="s">
        <v>13</v>
      </c>
      <c r="C52" s="4"/>
      <c r="D52" s="4"/>
      <c r="E52" s="4">
        <v>391.66291821382219</v>
      </c>
      <c r="F52" s="4">
        <v>5430.1399161538457</v>
      </c>
      <c r="G52" s="4">
        <v>6166.5138348221344</v>
      </c>
      <c r="H52" s="4">
        <v>4940.6599215948609</v>
      </c>
      <c r="I52" s="4">
        <v>4627.1371176890725</v>
      </c>
      <c r="J52" s="4">
        <v>4761.9685465035218</v>
      </c>
      <c r="K52" s="4">
        <v>3653.4948417380551</v>
      </c>
      <c r="L52" s="4">
        <v>3828.2052418346334</v>
      </c>
      <c r="M52" s="4">
        <v>3935.4037921712084</v>
      </c>
      <c r="N52" s="4">
        <v>3442.212395764544</v>
      </c>
      <c r="O52" s="4">
        <v>3583.6490094414239</v>
      </c>
      <c r="P52" s="4">
        <v>2870.4846788444265</v>
      </c>
      <c r="Q52" s="4">
        <v>3286.3162955451326</v>
      </c>
      <c r="R52" s="4">
        <v>3720.2206726209406</v>
      </c>
      <c r="S52" s="4">
        <v>4293.3567086051153</v>
      </c>
      <c r="T52" s="4">
        <v>4696.6019300644239</v>
      </c>
      <c r="U52" s="4">
        <v>5071.6975739999998</v>
      </c>
      <c r="V52" s="4">
        <v>4310.1711390873643</v>
      </c>
      <c r="W52" s="4">
        <v>4822.6458394627343</v>
      </c>
      <c r="X52" s="4">
        <v>5905.356805249412</v>
      </c>
      <c r="Y52" s="4">
        <v>5409.6957788827476</v>
      </c>
      <c r="Z52" s="4">
        <v>3610.8444693027786</v>
      </c>
      <c r="AA52" s="4">
        <v>5206.304021789123</v>
      </c>
      <c r="AB52" s="4">
        <v>4319.8846035766001</v>
      </c>
      <c r="AC52" s="4">
        <v>5912.1408110816337</v>
      </c>
      <c r="AD52" s="4">
        <v>5608.3620393079027</v>
      </c>
      <c r="AE52" s="4">
        <v>4686.922029057785</v>
      </c>
      <c r="AF52" s="4">
        <v>4736.9765510590223</v>
      </c>
      <c r="AG52" s="5">
        <v>4450.0885207679084</v>
      </c>
      <c r="AH52" s="4">
        <f t="shared" si="0"/>
        <v>127679.11800423218</v>
      </c>
      <c r="AI52" s="3">
        <f t="shared" si="1"/>
        <v>29</v>
      </c>
      <c r="AJ52" s="4">
        <f t="shared" si="2"/>
        <v>4402.728207042489</v>
      </c>
    </row>
    <row r="53" spans="1:36" ht="13" x14ac:dyDescent="0.15">
      <c r="A53" s="3" t="s">
        <v>62</v>
      </c>
      <c r="B53" s="3" t="s">
        <v>6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>
        <v>3429.5314641592754</v>
      </c>
      <c r="Q53" s="4">
        <v>4423.4951808033575</v>
      </c>
      <c r="R53" s="4">
        <v>4994.8583524593651</v>
      </c>
      <c r="S53" s="4">
        <v>3640.3558755971835</v>
      </c>
      <c r="T53" s="4">
        <v>4785.3501114183437</v>
      </c>
      <c r="U53" s="4">
        <v>4430.9432610000003</v>
      </c>
      <c r="V53" s="4">
        <v>3793.7955338446191</v>
      </c>
      <c r="W53" s="4">
        <v>4951.2592142543353</v>
      </c>
      <c r="X53" s="4">
        <v>5636.0511305790778</v>
      </c>
      <c r="Y53" s="4">
        <v>4567.6909697832607</v>
      </c>
      <c r="Z53" s="4">
        <v>5541.8005169809767</v>
      </c>
      <c r="AA53" s="4">
        <v>3995.2102692735916</v>
      </c>
      <c r="AB53" s="4">
        <v>5055.024651154964</v>
      </c>
      <c r="AC53" s="4">
        <v>5186.1106700775217</v>
      </c>
      <c r="AD53" s="4">
        <v>6924.1115540198907</v>
      </c>
      <c r="AE53" s="4">
        <v>3933.6534260007916</v>
      </c>
      <c r="AF53" s="4">
        <v>3868.5330939442701</v>
      </c>
      <c r="AG53" s="5">
        <v>7095.6599883278714</v>
      </c>
      <c r="AH53" s="4">
        <f t="shared" si="0"/>
        <v>86253.435263678693</v>
      </c>
      <c r="AI53" s="3">
        <f t="shared" si="1"/>
        <v>18</v>
      </c>
      <c r="AJ53" s="4">
        <f t="shared" si="2"/>
        <v>4791.8575146488165</v>
      </c>
    </row>
    <row r="54" spans="1:36" ht="13" x14ac:dyDescent="0.15">
      <c r="A54" s="3" t="s">
        <v>63</v>
      </c>
      <c r="B54" s="3" t="s">
        <v>45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>
        <v>424.8497923543411</v>
      </c>
      <c r="Q54" s="4">
        <v>988.62945169249645</v>
      </c>
      <c r="R54" s="4">
        <v>1100.3317403902199</v>
      </c>
      <c r="S54" s="4">
        <v>1370.7724141517444</v>
      </c>
      <c r="T54" s="4">
        <v>1223.8161433679886</v>
      </c>
      <c r="U54" s="4">
        <v>784.91360340000006</v>
      </c>
      <c r="V54" s="4" t="s">
        <v>64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>
        <f t="shared" si="0"/>
        <v>5893.3131453567912</v>
      </c>
      <c r="AI54" s="3">
        <f t="shared" si="1"/>
        <v>7</v>
      </c>
      <c r="AJ54" s="4">
        <f t="shared" si="2"/>
        <v>841.90187790811308</v>
      </c>
    </row>
    <row r="55" spans="1:36" ht="13" x14ac:dyDescent="0.15">
      <c r="A55" s="3" t="s">
        <v>65</v>
      </c>
      <c r="B55" s="3" t="s">
        <v>6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>
        <v>1679.1022086651906</v>
      </c>
      <c r="S55" s="4">
        <v>4064.7016643911752</v>
      </c>
      <c r="T55" s="4">
        <v>3898.2972230638447</v>
      </c>
      <c r="U55" s="4">
        <v>5293.7113499999996</v>
      </c>
      <c r="V55" s="4">
        <v>5493.0477000113842</v>
      </c>
      <c r="W55" s="4">
        <v>5066.3617079301357</v>
      </c>
      <c r="X55" s="4">
        <v>5207.1189084533326</v>
      </c>
      <c r="Y55" s="4">
        <v>5005.4602169678647</v>
      </c>
      <c r="Z55" s="4">
        <v>6987.9981656337577</v>
      </c>
      <c r="AA55" s="4">
        <v>7068.7308681461918</v>
      </c>
      <c r="AB55" s="4">
        <v>7117.9564035379299</v>
      </c>
      <c r="AC55" s="4">
        <v>8515.9867788815336</v>
      </c>
      <c r="AD55" s="4">
        <v>8617.2974237697927</v>
      </c>
      <c r="AE55" s="4">
        <v>8770.9639250632226</v>
      </c>
      <c r="AF55" s="4">
        <v>9932.2721195529703</v>
      </c>
      <c r="AG55" s="5">
        <v>10027.536639296308</v>
      </c>
      <c r="AH55" s="4">
        <f t="shared" si="0"/>
        <v>102746.54330336463</v>
      </c>
      <c r="AI55" s="3">
        <f t="shared" si="1"/>
        <v>16</v>
      </c>
      <c r="AJ55" s="4">
        <f t="shared" si="2"/>
        <v>6421.6589564602891</v>
      </c>
    </row>
    <row r="56" spans="1:36" ht="13" x14ac:dyDescent="0.15">
      <c r="A56" s="3" t="s">
        <v>66</v>
      </c>
      <c r="B56" s="3" t="s">
        <v>45</v>
      </c>
      <c r="C56" s="4">
        <v>447.41380601464448</v>
      </c>
      <c r="D56" s="4">
        <v>3259.1763246531814</v>
      </c>
      <c r="E56" s="4">
        <v>3899.0194503283037</v>
      </c>
      <c r="F56" s="4">
        <v>2222.9255810723462</v>
      </c>
      <c r="G56" s="4">
        <v>4122.1699428896582</v>
      </c>
      <c r="H56" s="4">
        <v>2619.8421545439342</v>
      </c>
      <c r="I56" s="4">
        <v>2924.1338587346436</v>
      </c>
      <c r="J56" s="4">
        <v>2427.8889163103909</v>
      </c>
      <c r="K56" s="4">
        <v>2172.654541269178</v>
      </c>
      <c r="L56" s="4">
        <v>2964.7030457710393</v>
      </c>
      <c r="M56" s="4">
        <v>1917.0809864476867</v>
      </c>
      <c r="N56" s="4">
        <v>1993.8113576274047</v>
      </c>
      <c r="O56" s="4">
        <v>3082.3088720074461</v>
      </c>
      <c r="P56" s="4">
        <v>2657.5710415356657</v>
      </c>
      <c r="Q56" s="4">
        <v>3131.5158865948038</v>
      </c>
      <c r="R56" s="4">
        <v>3007.8730084155991</v>
      </c>
      <c r="S56" s="4">
        <v>3982.7026588821454</v>
      </c>
      <c r="T56" s="4">
        <v>2312.9729052650655</v>
      </c>
      <c r="U56" s="4">
        <v>3582.3510160000001</v>
      </c>
      <c r="V56" s="4">
        <v>2802.0001422055566</v>
      </c>
      <c r="W56" s="4">
        <v>2827.194535825523</v>
      </c>
      <c r="X56" s="4">
        <v>2642.8424978235216</v>
      </c>
      <c r="Y56" s="4">
        <v>3286.306710162617</v>
      </c>
      <c r="Z56" s="4">
        <v>2435.3315720316473</v>
      </c>
      <c r="AA56" s="4">
        <v>3510.3058049882352</v>
      </c>
      <c r="AB56" s="4">
        <v>3227.529615736215</v>
      </c>
      <c r="AC56" s="4">
        <v>3211.252978998763</v>
      </c>
      <c r="AD56" s="4">
        <v>3006.798718106023</v>
      </c>
      <c r="AE56" s="4">
        <v>4319.7146773074683</v>
      </c>
      <c r="AF56" s="4">
        <v>4156.5064945413978</v>
      </c>
      <c r="AG56" s="5">
        <v>3493.2948123554029</v>
      </c>
      <c r="AH56" s="4">
        <f t="shared" si="0"/>
        <v>91647.19391444551</v>
      </c>
      <c r="AI56" s="3">
        <f t="shared" si="1"/>
        <v>31</v>
      </c>
      <c r="AJ56" s="4">
        <f t="shared" si="2"/>
        <v>2956.3610940143712</v>
      </c>
    </row>
    <row r="57" spans="1:36" ht="13" x14ac:dyDescent="0.15">
      <c r="A57" s="3" t="s">
        <v>67</v>
      </c>
      <c r="B57" s="3" t="s">
        <v>45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>
        <v>221.21645337264528</v>
      </c>
      <c r="P57" s="4">
        <v>2245.5054830546014</v>
      </c>
      <c r="Q57" s="4">
        <v>3229.0948974112057</v>
      </c>
      <c r="R57" s="4">
        <v>2087.6772577298689</v>
      </c>
      <c r="S57" s="4">
        <v>2965.4245635660945</v>
      </c>
      <c r="T57" s="4">
        <v>2196.796183996044</v>
      </c>
      <c r="U57" s="4">
        <v>3025.715342</v>
      </c>
      <c r="V57" s="4">
        <v>2305.3064753791377</v>
      </c>
      <c r="W57" s="4">
        <v>2060.17418486411</v>
      </c>
      <c r="X57" s="4">
        <v>2623.1720754804228</v>
      </c>
      <c r="Y57" s="4">
        <v>2249.9920424624534</v>
      </c>
      <c r="Z57" s="4">
        <v>1511.1614631384718</v>
      </c>
      <c r="AA57" s="4">
        <v>2513.7531720541479</v>
      </c>
      <c r="AB57" s="4">
        <v>3103.7596426794844</v>
      </c>
      <c r="AC57" s="4">
        <v>3346.288465096914</v>
      </c>
      <c r="AD57" s="4">
        <v>4225.3291142922353</v>
      </c>
      <c r="AE57" s="4">
        <v>4383.7377989255547</v>
      </c>
      <c r="AF57" s="4">
        <v>3596.0876841043978</v>
      </c>
      <c r="AG57" s="5">
        <v>3827.4239289383786</v>
      </c>
      <c r="AH57" s="4">
        <f t="shared" si="0"/>
        <v>51717.616228546169</v>
      </c>
      <c r="AI57" s="3">
        <f t="shared" si="1"/>
        <v>19</v>
      </c>
      <c r="AJ57" s="4">
        <f t="shared" si="2"/>
        <v>2721.9798015024298</v>
      </c>
    </row>
    <row r="58" spans="1:36" ht="13" x14ac:dyDescent="0.15">
      <c r="A58" s="3" t="s">
        <v>68</v>
      </c>
      <c r="B58" s="3" t="s">
        <v>45</v>
      </c>
      <c r="C58" s="4"/>
      <c r="D58" s="4"/>
      <c r="E58" s="4"/>
      <c r="F58" s="4"/>
      <c r="G58" s="4">
        <v>745.88707481686117</v>
      </c>
      <c r="H58" s="4">
        <v>1567.9368574981884</v>
      </c>
      <c r="I58" s="4">
        <v>2380.3250293451815</v>
      </c>
      <c r="J58" s="4">
        <v>2087.4278929888105</v>
      </c>
      <c r="K58" s="4">
        <v>2081.330579690813</v>
      </c>
      <c r="L58" s="4">
        <v>2201.5095243033966</v>
      </c>
      <c r="M58" s="4">
        <v>1375.3749127486615</v>
      </c>
      <c r="N58" s="4">
        <v>1598.4866918909365</v>
      </c>
      <c r="O58" s="4">
        <v>1372.2517963222915</v>
      </c>
      <c r="P58" s="4">
        <v>1788.5014055038373</v>
      </c>
      <c r="Q58" s="4">
        <v>1411.0438537792904</v>
      </c>
      <c r="R58" s="4">
        <v>1439.2904095419331</v>
      </c>
      <c r="S58" s="4">
        <v>1387.7925109845739</v>
      </c>
      <c r="T58" s="4">
        <v>1912.9553308955938</v>
      </c>
      <c r="U58" s="4">
        <v>1859.005903</v>
      </c>
      <c r="V58" s="4">
        <v>1914.5651260686809</v>
      </c>
      <c r="W58" s="4">
        <v>3169.974398242558</v>
      </c>
      <c r="X58" s="4">
        <v>2196.081398578885</v>
      </c>
      <c r="Y58" s="4">
        <v>1970.8326552550914</v>
      </c>
      <c r="Z58" s="4">
        <v>980.82160005871003</v>
      </c>
      <c r="AA58" s="4">
        <v>1954.4634290809352</v>
      </c>
      <c r="AB58" s="4">
        <v>2204.4913093507248</v>
      </c>
      <c r="AC58" s="4">
        <v>2106.4853833907059</v>
      </c>
      <c r="AD58" s="4">
        <v>2044.514087560759</v>
      </c>
      <c r="AE58" s="4">
        <v>2522.9102816183217</v>
      </c>
      <c r="AF58" s="4">
        <v>2363.7428237829449</v>
      </c>
      <c r="AG58" s="5">
        <v>2126.6565224918122</v>
      </c>
      <c r="AH58" s="4">
        <f t="shared" si="0"/>
        <v>50764.658788790504</v>
      </c>
      <c r="AI58" s="3">
        <f t="shared" si="1"/>
        <v>27</v>
      </c>
      <c r="AJ58" s="4">
        <f t="shared" si="2"/>
        <v>1880.1725477329817</v>
      </c>
    </row>
    <row r="59" spans="1:36" ht="13" x14ac:dyDescent="0.15">
      <c r="A59" s="3" t="s">
        <v>69</v>
      </c>
      <c r="B59" s="3" t="s">
        <v>11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>
        <v>717.58872951495471</v>
      </c>
      <c r="R59" s="4">
        <v>1912.9622874806287</v>
      </c>
      <c r="S59" s="4">
        <v>1817.7232676914196</v>
      </c>
      <c r="T59" s="4">
        <v>1870.9841838371362</v>
      </c>
      <c r="U59" s="4">
        <v>1480.3558760000001</v>
      </c>
      <c r="V59" s="4">
        <v>2240.2916283908817</v>
      </c>
      <c r="W59" s="4">
        <v>1790.7929330178958</v>
      </c>
      <c r="X59" s="4">
        <v>1924.4547420545155</v>
      </c>
      <c r="Y59" s="4">
        <v>3864.2063947689976</v>
      </c>
      <c r="Z59" s="4">
        <v>4536.4330483457343</v>
      </c>
      <c r="AA59" s="4">
        <v>5382.2519531576772</v>
      </c>
      <c r="AB59" s="4">
        <v>5421.5396709136694</v>
      </c>
      <c r="AC59" s="4">
        <v>4382.8673712809614</v>
      </c>
      <c r="AD59" s="4">
        <v>6084.0632176663066</v>
      </c>
      <c r="AE59" s="4">
        <v>6014.7258683273412</v>
      </c>
      <c r="AF59" s="4">
        <v>3998.9973502907228</v>
      </c>
      <c r="AG59" s="5">
        <v>6798.943665233659</v>
      </c>
      <c r="AH59" s="4">
        <f t="shared" si="0"/>
        <v>60239.182187972496</v>
      </c>
      <c r="AI59" s="3">
        <f t="shared" si="1"/>
        <v>17</v>
      </c>
      <c r="AJ59" s="4">
        <f t="shared" si="2"/>
        <v>3543.4813051748529</v>
      </c>
    </row>
    <row r="60" spans="1:36" ht="13" x14ac:dyDescent="0.15">
      <c r="A60" s="3" t="s">
        <v>70</v>
      </c>
      <c r="B60" s="3" t="s">
        <v>45</v>
      </c>
      <c r="C60" s="4">
        <v>1461.4073227935967</v>
      </c>
      <c r="D60" s="4">
        <v>7030.9680742299688</v>
      </c>
      <c r="E60" s="4">
        <v>7849.0160946641945</v>
      </c>
      <c r="F60" s="4">
        <v>6917.3117090551668</v>
      </c>
      <c r="G60" s="4">
        <v>8491.627145877801</v>
      </c>
      <c r="H60" s="4">
        <v>8008.5452558733659</v>
      </c>
      <c r="I60" s="4">
        <v>10435.117567369853</v>
      </c>
      <c r="J60" s="4">
        <v>8522.7928338113088</v>
      </c>
      <c r="K60" s="4">
        <v>8478.5540317483265</v>
      </c>
      <c r="L60" s="4">
        <v>7481.5082793173169</v>
      </c>
      <c r="M60" s="4">
        <v>6661.8067968825899</v>
      </c>
      <c r="N60" s="4">
        <v>8148.4478760329548</v>
      </c>
      <c r="O60" s="4">
        <v>8110.4813065393364</v>
      </c>
      <c r="P60" s="4">
        <v>8535.7359497331145</v>
      </c>
      <c r="Q60" s="4">
        <v>8613.9155732531926</v>
      </c>
      <c r="R60" s="4">
        <v>6541.6455277574923</v>
      </c>
      <c r="S60" s="4">
        <v>9757.0978189740927</v>
      </c>
      <c r="T60" s="4">
        <v>8232.1768539217137</v>
      </c>
      <c r="U60" s="4">
        <v>9032.5032319999991</v>
      </c>
      <c r="V60" s="4">
        <v>10235.668727567465</v>
      </c>
      <c r="W60" s="4">
        <v>9811.1662032282929</v>
      </c>
      <c r="X60" s="4">
        <v>10065.86708286047</v>
      </c>
      <c r="Y60" s="4">
        <v>7358.5816463331084</v>
      </c>
      <c r="Z60" s="4">
        <v>6880.9037679275343</v>
      </c>
      <c r="AA60" s="4">
        <v>9612.4619679585139</v>
      </c>
      <c r="AB60" s="4">
        <v>10335.404127710939</v>
      </c>
      <c r="AC60" s="4">
        <v>9855.9536913941556</v>
      </c>
      <c r="AD60" s="4">
        <v>7075.6543542302752</v>
      </c>
      <c r="AE60" s="4">
        <v>10096.864713072628</v>
      </c>
      <c r="AF60" s="4">
        <v>10960.748647908893</v>
      </c>
      <c r="AG60" s="5">
        <v>10418.341089098596</v>
      </c>
      <c r="AH60" s="4">
        <f t="shared" si="0"/>
        <v>261018.2752691262</v>
      </c>
      <c r="AI60" s="3">
        <f t="shared" si="1"/>
        <v>31</v>
      </c>
      <c r="AJ60" s="4">
        <f t="shared" si="2"/>
        <v>8419.9443635202006</v>
      </c>
    </row>
    <row r="61" spans="1:36" ht="13" x14ac:dyDescent="0.15">
      <c r="A61" s="3" t="s">
        <v>71</v>
      </c>
      <c r="B61" s="3" t="s">
        <v>17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>
        <v>1306.4336223722</v>
      </c>
      <c r="T61" s="4">
        <v>4985.6222365893291</v>
      </c>
      <c r="U61" s="4">
        <v>4252.9192030000004</v>
      </c>
      <c r="V61" s="4">
        <v>4994.9229597793201</v>
      </c>
      <c r="W61" s="4">
        <v>4331.4739078917137</v>
      </c>
      <c r="X61" s="4">
        <v>4639.8490259330856</v>
      </c>
      <c r="Y61" s="4">
        <v>4050.7497108083548</v>
      </c>
      <c r="Z61" s="4">
        <v>4453.7118301937453</v>
      </c>
      <c r="AA61" s="4">
        <v>4600.2354774688829</v>
      </c>
      <c r="AB61" s="4">
        <v>3595.1191379890029</v>
      </c>
      <c r="AC61" s="4">
        <v>5515.6223442254723</v>
      </c>
      <c r="AD61" s="4">
        <v>5526.3591469396924</v>
      </c>
      <c r="AE61" s="4">
        <v>5724.2099468423685</v>
      </c>
      <c r="AF61" s="4">
        <v>6868.4095205316435</v>
      </c>
      <c r="AG61" s="5">
        <v>6387.6535173510674</v>
      </c>
      <c r="AH61" s="4">
        <f t="shared" si="0"/>
        <v>71233.291587915883</v>
      </c>
      <c r="AI61" s="3">
        <f t="shared" si="1"/>
        <v>15</v>
      </c>
      <c r="AJ61" s="4">
        <f t="shared" si="2"/>
        <v>4748.8861058610591</v>
      </c>
    </row>
    <row r="62" spans="1:36" ht="13" x14ac:dyDescent="0.15">
      <c r="A62" s="3" t="s">
        <v>72</v>
      </c>
      <c r="B62" s="3" t="s">
        <v>27</v>
      </c>
      <c r="C62" s="4">
        <v>7307.608083558981</v>
      </c>
      <c r="D62" s="4">
        <v>13248.9739179963</v>
      </c>
      <c r="E62" s="4">
        <v>10521.070045272163</v>
      </c>
      <c r="F62" s="4">
        <v>10614.864382491993</v>
      </c>
      <c r="G62" s="4">
        <v>10669.20466533031</v>
      </c>
      <c r="H62" s="4">
        <v>7211.6364759276075</v>
      </c>
      <c r="I62" s="4">
        <v>10084.30280577988</v>
      </c>
      <c r="J62" s="4">
        <v>9758.0185457099615</v>
      </c>
      <c r="K62" s="4">
        <v>8559.4626377278419</v>
      </c>
      <c r="L62" s="4">
        <v>10413.815867843501</v>
      </c>
      <c r="M62" s="4">
        <v>7559.1424827567544</v>
      </c>
      <c r="N62" s="4">
        <v>8588.5621982649081</v>
      </c>
      <c r="O62" s="4">
        <v>9728.033658966342</v>
      </c>
      <c r="P62" s="4">
        <v>11345.8761063035</v>
      </c>
      <c r="Q62" s="4">
        <v>12050.530924789575</v>
      </c>
      <c r="R62" s="4">
        <v>10244.382529503584</v>
      </c>
      <c r="S62" s="4">
        <v>8727.2962996803089</v>
      </c>
      <c r="T62" s="4">
        <v>11688.55467048754</v>
      </c>
      <c r="U62" s="4">
        <v>13207.161480000001</v>
      </c>
      <c r="V62" s="4">
        <v>13646.16041480803</v>
      </c>
      <c r="W62" s="4">
        <v>14395.343098730053</v>
      </c>
      <c r="X62" s="4">
        <v>14938.443564645346</v>
      </c>
      <c r="Y62" s="4">
        <v>13315.912483697271</v>
      </c>
      <c r="Z62" s="4">
        <v>12459.297245545535</v>
      </c>
      <c r="AA62" s="4">
        <v>13025.885206825264</v>
      </c>
      <c r="AB62" s="4">
        <v>13501.899525186276</v>
      </c>
      <c r="AC62" s="4">
        <v>12337.112449510805</v>
      </c>
      <c r="AD62" s="4">
        <v>14363.88115651497</v>
      </c>
      <c r="AE62" s="4">
        <v>14663.101704828918</v>
      </c>
      <c r="AF62" s="4">
        <v>11868.017882461469</v>
      </c>
      <c r="AG62" s="5">
        <v>17705.946412498583</v>
      </c>
      <c r="AH62" s="4">
        <f t="shared" si="0"/>
        <v>357749.49892364355</v>
      </c>
      <c r="AI62" s="3">
        <f t="shared" si="1"/>
        <v>31</v>
      </c>
      <c r="AJ62" s="4">
        <f t="shared" si="2"/>
        <v>11540.306416891728</v>
      </c>
    </row>
    <row r="63" spans="1:36" ht="13" x14ac:dyDescent="0.15">
      <c r="A63" s="3" t="s">
        <v>73</v>
      </c>
      <c r="B63" s="3" t="s">
        <v>17</v>
      </c>
      <c r="C63" s="4">
        <v>3774.1395068794232</v>
      </c>
      <c r="D63" s="4">
        <v>5424.4655184056355</v>
      </c>
      <c r="E63" s="4">
        <v>3202.907329425796</v>
      </c>
      <c r="F63" s="4">
        <v>3611.5780749562427</v>
      </c>
      <c r="G63" s="4">
        <v>3443.76621092199</v>
      </c>
      <c r="H63" s="4">
        <v>2085.4073492077578</v>
      </c>
      <c r="I63" s="4">
        <v>2519.4704905286089</v>
      </c>
      <c r="J63" s="4">
        <v>3309.2604996957184</v>
      </c>
      <c r="K63" s="4">
        <v>2821.8301591566965</v>
      </c>
      <c r="L63" s="4">
        <v>3481.3147204075176</v>
      </c>
      <c r="M63" s="4">
        <v>2642.2369645356989</v>
      </c>
      <c r="N63" s="4">
        <v>2814.5101027177261</v>
      </c>
      <c r="O63" s="4">
        <v>2720.4613142143985</v>
      </c>
      <c r="P63" s="4">
        <v>2707.2884487044967</v>
      </c>
      <c r="Q63" s="4">
        <v>2615.9815296306965</v>
      </c>
      <c r="R63" s="4">
        <v>1694.185967297178</v>
      </c>
      <c r="S63" s="4">
        <v>1715.4178924707423</v>
      </c>
      <c r="T63" s="4">
        <v>2766.4249827655158</v>
      </c>
      <c r="U63" s="4">
        <v>198.43488830000001</v>
      </c>
      <c r="V63" s="4" t="s">
        <v>64</v>
      </c>
      <c r="W63" s="4"/>
      <c r="X63" s="4">
        <v>1914.9011001449353</v>
      </c>
      <c r="Y63" s="4"/>
      <c r="Z63" s="4"/>
      <c r="AA63" s="4"/>
      <c r="AB63" s="4"/>
      <c r="AC63" s="4"/>
      <c r="AD63" s="4"/>
      <c r="AE63" s="4"/>
      <c r="AF63" s="4"/>
      <c r="AG63" s="3"/>
      <c r="AH63" s="4">
        <f t="shared" si="0"/>
        <v>55463.983050366769</v>
      </c>
      <c r="AI63" s="3">
        <f t="shared" si="1"/>
        <v>21</v>
      </c>
      <c r="AJ63" s="4">
        <f t="shared" si="2"/>
        <v>2641.1420500174654</v>
      </c>
    </row>
    <row r="64" spans="1:36" ht="13" x14ac:dyDescent="0.15">
      <c r="A64" s="3" t="s">
        <v>74</v>
      </c>
      <c r="B64" s="3" t="s">
        <v>6</v>
      </c>
      <c r="C64" s="4"/>
      <c r="D64" s="4">
        <v>1936.40411985593</v>
      </c>
      <c r="E64" s="4">
        <v>3328.0771960315069</v>
      </c>
      <c r="F64" s="4">
        <v>4538.1806719202168</v>
      </c>
      <c r="G64" s="4">
        <v>3464.9730247920488</v>
      </c>
      <c r="H64" s="4">
        <v>256.35824138296397</v>
      </c>
      <c r="I64" s="4">
        <v>4618.7430264455224</v>
      </c>
      <c r="J64" s="4">
        <v>6803.8320773021842</v>
      </c>
      <c r="K64" s="4">
        <v>5988.1151193992746</v>
      </c>
      <c r="L64" s="4">
        <v>5531.6003561026555</v>
      </c>
      <c r="M64" s="4">
        <v>4614.802097939817</v>
      </c>
      <c r="N64" s="4">
        <v>4668.6303070991762</v>
      </c>
      <c r="O64" s="4">
        <v>4720.7703174581266</v>
      </c>
      <c r="P64" s="4">
        <v>3395.1874238842029</v>
      </c>
      <c r="Q64" s="4">
        <v>3947.3142419520268</v>
      </c>
      <c r="R64" s="4">
        <v>4918.6868059959925</v>
      </c>
      <c r="S64" s="4">
        <v>4237.1825828734545</v>
      </c>
      <c r="T64" s="4">
        <v>4083.7978704078873</v>
      </c>
      <c r="U64" s="4">
        <v>5623.599741</v>
      </c>
      <c r="V64" s="4">
        <v>5366.9776381171232</v>
      </c>
      <c r="W64" s="4">
        <v>6035.0492468056582</v>
      </c>
      <c r="X64" s="4">
        <v>7988.9994138622005</v>
      </c>
      <c r="Y64" s="4">
        <v>6383.7613341671649</v>
      </c>
      <c r="Z64" s="4">
        <v>4624.5822634725837</v>
      </c>
      <c r="AA64" s="4">
        <v>7452.6018157461012</v>
      </c>
      <c r="AB64" s="4">
        <v>8038.1313475255665</v>
      </c>
      <c r="AC64" s="4">
        <v>6723.7233999100072</v>
      </c>
      <c r="AD64" s="4">
        <v>8961.8445878557159</v>
      </c>
      <c r="AE64" s="4">
        <v>8181.9985549381563</v>
      </c>
      <c r="AF64" s="4">
        <v>7611.4592279808176</v>
      </c>
      <c r="AG64" s="5">
        <v>7520.9037633707494</v>
      </c>
      <c r="AH64" s="4">
        <f t="shared" si="0"/>
        <v>161566.28781559487</v>
      </c>
      <c r="AI64" s="3">
        <f t="shared" si="1"/>
        <v>30</v>
      </c>
      <c r="AJ64" s="4">
        <f t="shared" si="2"/>
        <v>5385.5429271864959</v>
      </c>
    </row>
    <row r="65" spans="1:36" ht="13" x14ac:dyDescent="0.15">
      <c r="A65" s="3" t="s">
        <v>75</v>
      </c>
      <c r="B65" s="3" t="s">
        <v>17</v>
      </c>
      <c r="C65" s="4">
        <v>8699.5300283420765</v>
      </c>
      <c r="D65" s="4">
        <v>10178.732650058866</v>
      </c>
      <c r="E65" s="4">
        <v>7456.3115236717658</v>
      </c>
      <c r="F65" s="4">
        <v>4397.7751768390535</v>
      </c>
      <c r="G65" s="4">
        <v>5664.0760041085496</v>
      </c>
      <c r="H65" s="4">
        <v>6523.5095739463459</v>
      </c>
      <c r="I65" s="4">
        <v>5315.4881475491602</v>
      </c>
      <c r="J65" s="4">
        <v>7150.0545510988568</v>
      </c>
      <c r="K65" s="4">
        <v>7342.7819636664071</v>
      </c>
      <c r="L65" s="4">
        <v>8339.7998850789245</v>
      </c>
      <c r="M65" s="4">
        <v>6170.194246127724</v>
      </c>
      <c r="N65" s="4">
        <v>6034.243937657704</v>
      </c>
      <c r="O65" s="4">
        <v>6632.2865476285333</v>
      </c>
      <c r="P65" s="4">
        <v>6800.0846019853743</v>
      </c>
      <c r="Q65" s="4">
        <v>5817.0703918084182</v>
      </c>
      <c r="R65" s="4">
        <v>5601.6701753385796</v>
      </c>
      <c r="S65" s="4">
        <v>5187.0051603841257</v>
      </c>
      <c r="T65" s="4">
        <v>6153.3635020603897</v>
      </c>
      <c r="U65" s="4">
        <v>6099.1480060000004</v>
      </c>
      <c r="V65" s="4">
        <v>6470.9104523188507</v>
      </c>
      <c r="W65" s="4">
        <v>8431.8207187588578</v>
      </c>
      <c r="X65" s="4">
        <v>6675.1330024049767</v>
      </c>
      <c r="Y65" s="4">
        <v>5988.0537601427723</v>
      </c>
      <c r="Z65" s="4">
        <v>6062.674254417595</v>
      </c>
      <c r="AA65" s="4">
        <v>6804.5272098421665</v>
      </c>
      <c r="AB65" s="4">
        <v>5338.7330240882538</v>
      </c>
      <c r="AC65" s="4">
        <v>8694.6306807485216</v>
      </c>
      <c r="AD65" s="4">
        <v>7051.2514284813833</v>
      </c>
      <c r="AE65" s="4">
        <v>7903.2334290973522</v>
      </c>
      <c r="AF65" s="4">
        <v>6543.38996499515</v>
      </c>
      <c r="AG65" s="5">
        <v>8591.5918097001213</v>
      </c>
      <c r="AH65" s="4">
        <f t="shared" si="0"/>
        <v>210119.07580834685</v>
      </c>
      <c r="AI65" s="3">
        <f t="shared" si="1"/>
        <v>31</v>
      </c>
      <c r="AJ65" s="4">
        <f t="shared" si="2"/>
        <v>6778.0347034950601</v>
      </c>
    </row>
    <row r="66" spans="1:36" ht="13" x14ac:dyDescent="0.15">
      <c r="A66" s="3" t="s">
        <v>76</v>
      </c>
      <c r="B66" s="3" t="s">
        <v>27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>
        <v>1790.4748962437957</v>
      </c>
      <c r="R66" s="4">
        <v>3288.6335602493623</v>
      </c>
      <c r="S66" s="4">
        <v>3097.1212761885117</v>
      </c>
      <c r="T66" s="4">
        <v>7819.1381179827786</v>
      </c>
      <c r="U66" s="4">
        <v>6458.5244579999999</v>
      </c>
      <c r="V66" s="4">
        <v>5313.703039913592</v>
      </c>
      <c r="W66" s="4">
        <v>7799.411795723322</v>
      </c>
      <c r="X66" s="4">
        <v>6098.8548563369995</v>
      </c>
      <c r="Y66" s="4">
        <v>6987.9476394200256</v>
      </c>
      <c r="Z66" s="4">
        <v>7520.3886168412446</v>
      </c>
      <c r="AA66" s="4">
        <v>7652.5681391518901</v>
      </c>
      <c r="AB66" s="4">
        <v>5549.2956109863917</v>
      </c>
      <c r="AC66" s="4">
        <v>6609.5866885741407</v>
      </c>
      <c r="AD66" s="4">
        <v>6861.797286501981</v>
      </c>
      <c r="AE66" s="4">
        <v>8174.613205112767</v>
      </c>
      <c r="AF66" s="4">
        <v>6488.7416359432345</v>
      </c>
      <c r="AG66" s="5">
        <v>8455.2041803037446</v>
      </c>
      <c r="AH66" s="4">
        <f t="shared" si="0"/>
        <v>105966.00500347378</v>
      </c>
      <c r="AI66" s="3">
        <f t="shared" si="1"/>
        <v>17</v>
      </c>
      <c r="AJ66" s="4">
        <f t="shared" si="2"/>
        <v>6233.2944119690455</v>
      </c>
    </row>
    <row r="67" spans="1:36" ht="13" x14ac:dyDescent="0.15">
      <c r="A67" s="3" t="s">
        <v>77</v>
      </c>
      <c r="B67" s="3" t="s">
        <v>17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>
        <v>2572.4400810848274</v>
      </c>
      <c r="Q67" s="4">
        <v>3092.3984317786071</v>
      </c>
      <c r="R67" s="4">
        <v>4183.7670822991413</v>
      </c>
      <c r="S67" s="4">
        <v>3742.9967475159337</v>
      </c>
      <c r="T67" s="4">
        <v>3197.0879573567263</v>
      </c>
      <c r="U67" s="4">
        <v>6577.9943059999996</v>
      </c>
      <c r="V67" s="4">
        <v>4943.1200648576014</v>
      </c>
      <c r="W67" s="4">
        <v>6985.7824912038886</v>
      </c>
      <c r="X67" s="4">
        <v>5238.3396513182515</v>
      </c>
      <c r="Y67" s="4">
        <v>4534.4677715172929</v>
      </c>
      <c r="Z67" s="4">
        <v>4299.4283945017542</v>
      </c>
      <c r="AA67" s="4">
        <v>4121.0921714135184</v>
      </c>
      <c r="AB67" s="4">
        <v>4750.766007012935</v>
      </c>
      <c r="AC67" s="4">
        <v>6087.0048007146725</v>
      </c>
      <c r="AD67" s="4">
        <v>5897.3609063354688</v>
      </c>
      <c r="AE67" s="4">
        <v>5748.5965008859612</v>
      </c>
      <c r="AF67" s="4">
        <v>5763.8017087935405</v>
      </c>
      <c r="AG67" s="5">
        <v>8148.4308184100382</v>
      </c>
      <c r="AH67" s="4">
        <f t="shared" si="0"/>
        <v>89884.875893000164</v>
      </c>
      <c r="AI67" s="3">
        <f t="shared" si="1"/>
        <v>18</v>
      </c>
      <c r="AJ67" s="4">
        <f t="shared" si="2"/>
        <v>4993.6042162777867</v>
      </c>
    </row>
    <row r="68" spans="1:36" ht="13" x14ac:dyDescent="0.15">
      <c r="A68" s="3" t="s">
        <v>78</v>
      </c>
      <c r="B68" s="3" t="s">
        <v>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>
        <v>1717.7511856045319</v>
      </c>
      <c r="N68" s="4">
        <v>4641.4242816569367</v>
      </c>
      <c r="O68" s="4">
        <v>4831.1726504267945</v>
      </c>
      <c r="P68" s="4">
        <v>3730.7176441808929</v>
      </c>
      <c r="Q68" s="4">
        <v>6454.2825546225058</v>
      </c>
      <c r="R68" s="4">
        <v>4911.3275109763727</v>
      </c>
      <c r="S68" s="4">
        <v>6663.3570297149781</v>
      </c>
      <c r="T68" s="4">
        <v>7142.4619551784717</v>
      </c>
      <c r="U68" s="4">
        <v>6950.6155710000003</v>
      </c>
      <c r="V68" s="4">
        <v>7577.8320826968747</v>
      </c>
      <c r="W68" s="4">
        <v>6592.2314280801165</v>
      </c>
      <c r="X68" s="4">
        <v>8967.6219714168546</v>
      </c>
      <c r="Y68" s="4">
        <v>7641.228398935561</v>
      </c>
      <c r="Z68" s="4">
        <v>7014.5980723511593</v>
      </c>
      <c r="AA68" s="4">
        <v>7758.0973849831698</v>
      </c>
      <c r="AB68" s="4">
        <v>7698.1342334679794</v>
      </c>
      <c r="AC68" s="4">
        <v>6801.9691692266751</v>
      </c>
      <c r="AD68" s="4">
        <v>8454.0900813377993</v>
      </c>
      <c r="AE68" s="4">
        <v>7603.4224741523176</v>
      </c>
      <c r="AF68" s="4">
        <v>6065.3287808630312</v>
      </c>
      <c r="AG68" s="5">
        <v>6229.5079789313795</v>
      </c>
      <c r="AH68" s="4">
        <f t="shared" si="0"/>
        <v>135447.17243980439</v>
      </c>
      <c r="AI68" s="3">
        <f t="shared" si="1"/>
        <v>21</v>
      </c>
      <c r="AJ68" s="4">
        <f t="shared" si="2"/>
        <v>6449.8653542763996</v>
      </c>
    </row>
    <row r="69" spans="1:36" ht="13" x14ac:dyDescent="0.15">
      <c r="A69" s="3" t="s">
        <v>79</v>
      </c>
      <c r="B69" s="3" t="s">
        <v>27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>
        <v>692.73001411810253</v>
      </c>
      <c r="S69" s="4">
        <v>2427.8642483384938</v>
      </c>
      <c r="T69" s="4">
        <v>4646.5212985108283</v>
      </c>
      <c r="U69" s="4">
        <v>3182.9038599999999</v>
      </c>
      <c r="V69" s="4">
        <v>5954.1910330077362</v>
      </c>
      <c r="W69" s="4">
        <v>3565.7552497907604</v>
      </c>
      <c r="X69" s="4">
        <v>4049.1496939744593</v>
      </c>
      <c r="Y69" s="4">
        <v>4275.2449196817697</v>
      </c>
      <c r="Z69" s="4">
        <v>3496.3527146465499</v>
      </c>
      <c r="AA69" s="4">
        <v>4894.5938356957895</v>
      </c>
      <c r="AB69" s="4">
        <v>4680.7308141849944</v>
      </c>
      <c r="AC69" s="4">
        <v>3351.0555647493679</v>
      </c>
      <c r="AD69" s="4">
        <v>5137.7403753925746</v>
      </c>
      <c r="AE69" s="4">
        <v>2746.935092638786</v>
      </c>
      <c r="AF69" s="4">
        <v>2431.130216845851</v>
      </c>
      <c r="AG69" s="5">
        <v>7389.957301956827</v>
      </c>
      <c r="AH69" s="4">
        <f t="shared" si="0"/>
        <v>62922.85623353289</v>
      </c>
      <c r="AI69" s="3">
        <f t="shared" si="1"/>
        <v>16</v>
      </c>
      <c r="AJ69" s="4">
        <f t="shared" si="2"/>
        <v>3932.6785145958056</v>
      </c>
    </row>
    <row r="70" spans="1:36" ht="13" x14ac:dyDescent="0.15">
      <c r="A70" s="3" t="s">
        <v>80</v>
      </c>
      <c r="B70" s="3" t="s">
        <v>11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>
        <v>96.575209942850776</v>
      </c>
      <c r="O70" s="4">
        <v>2881.6128515541895</v>
      </c>
      <c r="P70" s="4">
        <v>2108.7717992844337</v>
      </c>
      <c r="Q70" s="4">
        <v>2327.2744869696326</v>
      </c>
      <c r="R70" s="4">
        <v>2053.8284353068898</v>
      </c>
      <c r="S70" s="4">
        <v>2394.5369905295652</v>
      </c>
      <c r="T70" s="4">
        <v>1835.5426332181949</v>
      </c>
      <c r="U70" s="4">
        <v>2785.9828360000001</v>
      </c>
      <c r="V70" s="4">
        <v>2686.0335520899243</v>
      </c>
      <c r="W70" s="4">
        <v>2272.0769302074391</v>
      </c>
      <c r="X70" s="4">
        <v>2432.7342135047979</v>
      </c>
      <c r="Y70" s="4">
        <v>2683.4586591651027</v>
      </c>
      <c r="Z70" s="4">
        <v>1250.3124583987383</v>
      </c>
      <c r="AA70" s="4">
        <v>1910.3048501192777</v>
      </c>
      <c r="AB70" s="4">
        <v>2232.3986880232756</v>
      </c>
      <c r="AC70" s="4">
        <v>2808.3225563756218</v>
      </c>
      <c r="AD70" s="4">
        <v>3629.2676309544036</v>
      </c>
      <c r="AE70" s="4">
        <v>3417.9153262571181</v>
      </c>
      <c r="AF70" s="4">
        <v>2838.67288834483</v>
      </c>
      <c r="AG70" s="5">
        <v>3322.6018158069692</v>
      </c>
      <c r="AH70" s="4">
        <f t="shared" si="0"/>
        <v>47968.22481205326</v>
      </c>
      <c r="AI70" s="3">
        <f t="shared" si="1"/>
        <v>20</v>
      </c>
      <c r="AJ70" s="4">
        <f t="shared" si="2"/>
        <v>2398.4112406026629</v>
      </c>
    </row>
    <row r="71" spans="1:36" ht="13" x14ac:dyDescent="0.15">
      <c r="A71" s="3" t="s">
        <v>81</v>
      </c>
      <c r="B71" s="3" t="s">
        <v>13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>
        <v>1123.5886282357274</v>
      </c>
      <c r="O71" s="4">
        <v>4692.8198475842373</v>
      </c>
      <c r="P71" s="4">
        <v>3556.4332520224293</v>
      </c>
      <c r="Q71" s="4">
        <v>2902.4300250360575</v>
      </c>
      <c r="R71" s="4">
        <v>2982.6549523482963</v>
      </c>
      <c r="S71" s="4">
        <v>3192.5317354133063</v>
      </c>
      <c r="T71" s="4">
        <v>2471.5386875021222</v>
      </c>
      <c r="U71" s="4">
        <v>4336.8729629999998</v>
      </c>
      <c r="V71" s="4">
        <v>3119.4310325576917</v>
      </c>
      <c r="W71" s="4">
        <v>3545.3108060180311</v>
      </c>
      <c r="X71" s="4">
        <v>4056.737675612419</v>
      </c>
      <c r="Y71" s="4">
        <v>3123.4936980137609</v>
      </c>
      <c r="Z71" s="4">
        <v>2382.7625440674087</v>
      </c>
      <c r="AA71" s="4">
        <v>4521.3354559430318</v>
      </c>
      <c r="AB71" s="4">
        <v>3381.1393027575828</v>
      </c>
      <c r="AC71" s="4">
        <v>3274.6509649192735</v>
      </c>
      <c r="AD71" s="4">
        <v>4234.4086737937723</v>
      </c>
      <c r="AE71" s="4">
        <v>4122.2329474100707</v>
      </c>
      <c r="AF71" s="4">
        <v>4148.3069915129845</v>
      </c>
      <c r="AG71" s="5">
        <v>4435.716001006168</v>
      </c>
      <c r="AH71" s="4">
        <f t="shared" si="0"/>
        <v>69604.396184754369</v>
      </c>
      <c r="AI71" s="3">
        <f t="shared" si="1"/>
        <v>20</v>
      </c>
      <c r="AJ71" s="4">
        <f t="shared" si="2"/>
        <v>3480.2198092377184</v>
      </c>
    </row>
    <row r="72" spans="1:36" ht="13" x14ac:dyDescent="0.15">
      <c r="A72" s="3" t="s">
        <v>82</v>
      </c>
      <c r="B72" s="3" t="s">
        <v>11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>
        <v>595.08836155524773</v>
      </c>
      <c r="U72" s="4">
        <v>2649.6450620000001</v>
      </c>
      <c r="V72" s="4">
        <v>4252.2522045528549</v>
      </c>
      <c r="W72" s="4">
        <v>4094.1046236849493</v>
      </c>
      <c r="X72" s="4">
        <v>5104.7981548253465</v>
      </c>
      <c r="Y72" s="4">
        <v>5138.1241520515314</v>
      </c>
      <c r="Z72" s="4">
        <v>6087.1525087496339</v>
      </c>
      <c r="AA72" s="4">
        <v>5050.7936217315446</v>
      </c>
      <c r="AB72" s="4">
        <v>5470.114939244404</v>
      </c>
      <c r="AC72" s="4">
        <v>4421.407484951239</v>
      </c>
      <c r="AD72" s="4">
        <v>6464.1351829826417</v>
      </c>
      <c r="AE72" s="4">
        <v>5942.4727760670239</v>
      </c>
      <c r="AF72" s="4">
        <v>6105.3703282482493</v>
      </c>
      <c r="AG72" s="5">
        <v>7035.5216080459295</v>
      </c>
      <c r="AH72" s="4">
        <f t="shared" si="0"/>
        <v>68410.981008690593</v>
      </c>
      <c r="AI72" s="3">
        <f t="shared" si="1"/>
        <v>14</v>
      </c>
      <c r="AJ72" s="4">
        <f t="shared" si="2"/>
        <v>4886.4986434778993</v>
      </c>
    </row>
    <row r="73" spans="1:36" ht="13" x14ac:dyDescent="0.15">
      <c r="A73" s="3" t="s">
        <v>83</v>
      </c>
      <c r="B73" s="3" t="s">
        <v>11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>
        <v>2207.4553988774128</v>
      </c>
      <c r="R73" s="4">
        <v>2522.3326704890555</v>
      </c>
      <c r="S73" s="4">
        <v>3869.3429472222797</v>
      </c>
      <c r="T73" s="4">
        <v>2787.5191672851079</v>
      </c>
      <c r="U73" s="4">
        <v>5574.5907079999997</v>
      </c>
      <c r="V73" s="4">
        <v>5943.2256493205668</v>
      </c>
      <c r="W73" s="4">
        <v>4091.4177625701436</v>
      </c>
      <c r="X73" s="4">
        <v>8170.3174605592567</v>
      </c>
      <c r="Y73" s="4">
        <v>7011.1737591738038</v>
      </c>
      <c r="Z73" s="4">
        <v>6089.5468259813433</v>
      </c>
      <c r="AA73" s="4">
        <v>6521.8372640608568</v>
      </c>
      <c r="AB73" s="4">
        <v>6616.078540811639</v>
      </c>
      <c r="AC73" s="4">
        <v>4184.5669573535524</v>
      </c>
      <c r="AD73" s="4">
        <v>10022.321306228041</v>
      </c>
      <c r="AE73" s="4">
        <v>5935.5915291850888</v>
      </c>
      <c r="AF73" s="4">
        <v>5371.4883969311604</v>
      </c>
      <c r="AG73" s="5">
        <v>9274.2829087400569</v>
      </c>
      <c r="AH73" s="4">
        <f t="shared" si="0"/>
        <v>96193.089252789374</v>
      </c>
      <c r="AI73" s="3">
        <f t="shared" si="1"/>
        <v>17</v>
      </c>
      <c r="AJ73" s="4">
        <f t="shared" si="2"/>
        <v>5658.4170148699632</v>
      </c>
    </row>
    <row r="74" spans="1:36" ht="13" x14ac:dyDescent="0.15">
      <c r="A74" s="3" t="s">
        <v>84</v>
      </c>
      <c r="B74" s="3" t="s">
        <v>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>
        <v>4142.9538484598443</v>
      </c>
      <c r="S74" s="4">
        <v>3194.9971931956575</v>
      </c>
      <c r="T74" s="4">
        <v>3085.0847048773835</v>
      </c>
      <c r="U74" s="4">
        <v>5183.6804899999997</v>
      </c>
      <c r="V74" s="4">
        <v>3582.9358111775005</v>
      </c>
      <c r="W74" s="4">
        <v>6631.9223808729748</v>
      </c>
      <c r="X74" s="4">
        <v>7870.7776646648617</v>
      </c>
      <c r="Y74" s="4">
        <v>6600.6286140853954</v>
      </c>
      <c r="Z74" s="4">
        <v>4452.402425986068</v>
      </c>
      <c r="AA74" s="4">
        <v>5702.0602818532243</v>
      </c>
      <c r="AB74" s="4">
        <v>5324.2309094766533</v>
      </c>
      <c r="AC74" s="4">
        <v>6476.7272888380585</v>
      </c>
      <c r="AD74" s="4">
        <v>4549.2373039863187</v>
      </c>
      <c r="AE74" s="4">
        <v>6104.0466828450517</v>
      </c>
      <c r="AF74" s="4">
        <v>6538.7362570720725</v>
      </c>
      <c r="AG74" s="5">
        <v>5198.4227773805114</v>
      </c>
      <c r="AH74" s="4">
        <f t="shared" si="0"/>
        <v>84638.844634771594</v>
      </c>
      <c r="AI74" s="3">
        <f t="shared" si="1"/>
        <v>16</v>
      </c>
      <c r="AJ74" s="4">
        <f t="shared" si="2"/>
        <v>5289.9277896732247</v>
      </c>
    </row>
    <row r="75" spans="1:36" ht="13" x14ac:dyDescent="0.15">
      <c r="A75" s="3" t="s">
        <v>85</v>
      </c>
      <c r="B75" s="3" t="s">
        <v>27</v>
      </c>
      <c r="C75" s="4">
        <v>2104.5095766724876</v>
      </c>
      <c r="D75" s="4">
        <v>5929.3604220836314</v>
      </c>
      <c r="E75" s="4">
        <v>6158.9836856797338</v>
      </c>
      <c r="F75" s="4">
        <v>5472.6008178057555</v>
      </c>
      <c r="G75" s="4">
        <v>6697.7084521453171</v>
      </c>
      <c r="H75" s="4">
        <v>3980.2249282802823</v>
      </c>
      <c r="I75" s="4">
        <v>7550.0514876000316</v>
      </c>
      <c r="J75" s="4">
        <v>5080.2419856866163</v>
      </c>
      <c r="K75" s="4">
        <v>4911.0211033907917</v>
      </c>
      <c r="L75" s="4">
        <v>4563.0947746970069</v>
      </c>
      <c r="M75" s="4">
        <v>3565.1375937955822</v>
      </c>
      <c r="N75" s="4">
        <v>3846.103900058311</v>
      </c>
      <c r="O75" s="4">
        <v>3674.541915658765</v>
      </c>
      <c r="P75" s="4">
        <v>4375.8294626566312</v>
      </c>
      <c r="Q75" s="4">
        <v>5705.1777258469656</v>
      </c>
      <c r="R75" s="4">
        <v>5301.4550478721167</v>
      </c>
      <c r="S75" s="4">
        <v>6685.8103926681079</v>
      </c>
      <c r="T75" s="4">
        <v>5458.4161154543954</v>
      </c>
      <c r="U75" s="4">
        <v>7490.2335009999997</v>
      </c>
      <c r="V75" s="4">
        <v>7617.8501482199445</v>
      </c>
      <c r="W75" s="4">
        <v>7504.5117771839805</v>
      </c>
      <c r="X75" s="4">
        <v>8539.5156907379242</v>
      </c>
      <c r="Y75" s="4">
        <v>11466.934088934107</v>
      </c>
      <c r="Z75" s="4">
        <v>9969.8564718554408</v>
      </c>
      <c r="AA75" s="4">
        <v>12635.278025670026</v>
      </c>
      <c r="AB75" s="4">
        <v>7128.7588129982341</v>
      </c>
      <c r="AC75" s="4">
        <v>7585.8929843158212</v>
      </c>
      <c r="AD75" s="4">
        <v>10090.700671831579</v>
      </c>
      <c r="AE75" s="4">
        <v>8464.756094204271</v>
      </c>
      <c r="AF75" s="4">
        <v>8261.2245088088694</v>
      </c>
      <c r="AG75" s="5">
        <v>11493.50627394728</v>
      </c>
      <c r="AH75" s="4">
        <f t="shared" si="0"/>
        <v>209309.28843776003</v>
      </c>
      <c r="AI75" s="3">
        <f t="shared" si="1"/>
        <v>31</v>
      </c>
      <c r="AJ75" s="4">
        <f t="shared" si="2"/>
        <v>6751.9125302503235</v>
      </c>
    </row>
    <row r="76" spans="1:36" ht="13" x14ac:dyDescent="0.15">
      <c r="A76" s="3" t="s">
        <v>86</v>
      </c>
      <c r="B76" s="3" t="s">
        <v>11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>
        <v>79.547942301888739</v>
      </c>
      <c r="S76" s="4">
        <v>1225.8721794519959</v>
      </c>
      <c r="T76" s="4">
        <v>581.90080783657186</v>
      </c>
      <c r="U76" s="4">
        <v>2136.1225209999998</v>
      </c>
      <c r="V76" s="4">
        <v>2101.3075096428506</v>
      </c>
      <c r="W76" s="4">
        <v>1442.5085610112269</v>
      </c>
      <c r="X76" s="4">
        <v>2549.0139327476695</v>
      </c>
      <c r="Y76" s="4">
        <v>1983.3062006026723</v>
      </c>
      <c r="Z76" s="4">
        <v>2073.478722660489</v>
      </c>
      <c r="AA76" s="4">
        <v>2642.1964133683141</v>
      </c>
      <c r="AB76" s="4">
        <v>2476.8624567465808</v>
      </c>
      <c r="AC76" s="4">
        <v>1670.56569640009</v>
      </c>
      <c r="AD76" s="4">
        <v>2846.6859231894937</v>
      </c>
      <c r="AE76" s="4">
        <v>3863.8201242065065</v>
      </c>
      <c r="AF76" s="4">
        <v>2679.0645545398197</v>
      </c>
      <c r="AG76" s="5">
        <v>1756.5199669645979</v>
      </c>
      <c r="AH76" s="4">
        <f t="shared" si="0"/>
        <v>32108.773512670767</v>
      </c>
      <c r="AI76" s="3">
        <f t="shared" si="1"/>
        <v>16</v>
      </c>
      <c r="AJ76" s="4">
        <f t="shared" si="2"/>
        <v>2006.7983445419229</v>
      </c>
    </row>
    <row r="77" spans="1:36" ht="13" x14ac:dyDescent="0.15">
      <c r="A77" s="3" t="s">
        <v>87</v>
      </c>
      <c r="B77" s="3" t="s">
        <v>13</v>
      </c>
      <c r="C77" s="4">
        <v>8292.3797451777937</v>
      </c>
      <c r="D77" s="4">
        <v>9056.9693098592143</v>
      </c>
      <c r="E77" s="4">
        <v>8006.290959435697</v>
      </c>
      <c r="F77" s="4">
        <v>7164.1569816657939</v>
      </c>
      <c r="G77" s="4">
        <v>7834.0196447718135</v>
      </c>
      <c r="H77" s="4">
        <v>7607.1430944615558</v>
      </c>
      <c r="I77" s="4">
        <v>6271.9676293496905</v>
      </c>
      <c r="J77" s="4">
        <v>6623.5004270590744</v>
      </c>
      <c r="K77" s="4">
        <v>5034.7538590955864</v>
      </c>
      <c r="L77" s="4">
        <v>6899.8391607434323</v>
      </c>
      <c r="M77" s="4">
        <v>4648.7561400500354</v>
      </c>
      <c r="N77" s="4">
        <v>4130.80892394902</v>
      </c>
      <c r="O77" s="4">
        <v>4918.6147632591365</v>
      </c>
      <c r="P77" s="4">
        <v>3950.2721813655689</v>
      </c>
      <c r="Q77" s="4">
        <v>4715.5782878531782</v>
      </c>
      <c r="R77" s="4">
        <v>4823.7433372383639</v>
      </c>
      <c r="S77" s="4">
        <v>4833.5355641046972</v>
      </c>
      <c r="T77" s="4">
        <v>5033.5138269852296</v>
      </c>
      <c r="U77" s="4">
        <v>6335.0129020000004</v>
      </c>
      <c r="V77" s="4">
        <v>5583.8051775919221</v>
      </c>
      <c r="W77" s="4">
        <v>6310.8367259505776</v>
      </c>
      <c r="X77" s="4">
        <v>6319.0758932017325</v>
      </c>
      <c r="Y77" s="4">
        <v>4196.9141116611117</v>
      </c>
      <c r="Z77" s="4">
        <v>5187.254937640806</v>
      </c>
      <c r="AA77" s="4">
        <v>5829.5260082725681</v>
      </c>
      <c r="AB77" s="4">
        <v>4310.1743439402035</v>
      </c>
      <c r="AC77" s="4">
        <v>7699.9976447708323</v>
      </c>
      <c r="AD77" s="4">
        <v>5373.1354035922368</v>
      </c>
      <c r="AE77" s="4">
        <v>6078.1849270949097</v>
      </c>
      <c r="AF77" s="4">
        <v>4564.6380925714266</v>
      </c>
      <c r="AG77" s="5">
        <v>6860.3593683315476</v>
      </c>
      <c r="AH77" s="4">
        <f t="shared" si="0"/>
        <v>184494.75937304471</v>
      </c>
      <c r="AI77" s="3">
        <f t="shared" si="1"/>
        <v>31</v>
      </c>
      <c r="AJ77" s="4">
        <f t="shared" si="2"/>
        <v>5951.4438507433779</v>
      </c>
    </row>
    <row r="78" spans="1:36" ht="13" x14ac:dyDescent="0.15">
      <c r="A78" s="3" t="s">
        <v>88</v>
      </c>
      <c r="B78" s="3" t="s">
        <v>13</v>
      </c>
      <c r="C78" s="4">
        <v>11120.952831766144</v>
      </c>
      <c r="D78" s="4">
        <v>10815.387070792613</v>
      </c>
      <c r="E78" s="4">
        <v>10734.695722437113</v>
      </c>
      <c r="F78" s="4">
        <v>7550.1054569025628</v>
      </c>
      <c r="G78" s="4">
        <v>9721.7789579517812</v>
      </c>
      <c r="H78" s="4">
        <v>8290.3874899561652</v>
      </c>
      <c r="I78" s="4">
        <v>7306.8469495382269</v>
      </c>
      <c r="J78" s="4">
        <v>9581.9366133267049</v>
      </c>
      <c r="K78" s="4">
        <v>6398.8886191336169</v>
      </c>
      <c r="L78" s="4">
        <v>7525.9282559239709</v>
      </c>
      <c r="M78" s="4">
        <v>6015.9509871573191</v>
      </c>
      <c r="N78" s="4">
        <v>6912.4376653159452</v>
      </c>
      <c r="O78" s="4">
        <v>6931.4947609836536</v>
      </c>
      <c r="P78" s="4">
        <v>4977.7415432653797</v>
      </c>
      <c r="Q78" s="4">
        <v>5037.444144500826</v>
      </c>
      <c r="R78" s="4">
        <v>4996.2714387919177</v>
      </c>
      <c r="S78" s="4">
        <v>6185.820918823888</v>
      </c>
      <c r="T78" s="4">
        <v>6944.8500954284345</v>
      </c>
      <c r="U78" s="4">
        <v>8437.7022610000004</v>
      </c>
      <c r="V78" s="4">
        <v>8891.8097320650922</v>
      </c>
      <c r="W78" s="4">
        <v>7312.2532727160669</v>
      </c>
      <c r="X78" s="4">
        <v>9161.005469208978</v>
      </c>
      <c r="Y78" s="4">
        <v>7171.9050417620438</v>
      </c>
      <c r="Z78" s="4">
        <v>7460.6362754384245</v>
      </c>
      <c r="AA78" s="4">
        <v>8807.6323588421546</v>
      </c>
      <c r="AB78" s="4">
        <v>7124.7230535715371</v>
      </c>
      <c r="AC78" s="4">
        <v>8645.4197031768908</v>
      </c>
      <c r="AD78" s="4">
        <v>9082.260727655399</v>
      </c>
      <c r="AE78" s="4">
        <v>9914.9964325396959</v>
      </c>
      <c r="AF78" s="4">
        <v>7583.8207115754358</v>
      </c>
      <c r="AG78" s="5">
        <v>7898.9992111693282</v>
      </c>
      <c r="AH78" s="4">
        <f t="shared" si="0"/>
        <v>244542.08377271733</v>
      </c>
      <c r="AI78" s="3">
        <f t="shared" si="1"/>
        <v>31</v>
      </c>
      <c r="AJ78" s="4">
        <f t="shared" si="2"/>
        <v>7888.4543152489459</v>
      </c>
    </row>
    <row r="79" spans="1:36" ht="13" x14ac:dyDescent="0.15">
      <c r="A79" s="3" t="s">
        <v>89</v>
      </c>
      <c r="B79" s="3" t="s">
        <v>6</v>
      </c>
      <c r="C79" s="4"/>
      <c r="D79" s="4"/>
      <c r="E79" s="4"/>
      <c r="F79" s="4">
        <v>968.41756342869542</v>
      </c>
      <c r="G79" s="4">
        <v>8763.0583574689736</v>
      </c>
      <c r="H79" s="4">
        <v>8971.2019735158465</v>
      </c>
      <c r="I79" s="4">
        <v>8644.5629769953412</v>
      </c>
      <c r="J79" s="4">
        <v>9299.7375757751197</v>
      </c>
      <c r="K79" s="4">
        <v>4708.2202681519384</v>
      </c>
      <c r="L79" s="4">
        <v>4323.9510682966929</v>
      </c>
      <c r="M79" s="4">
        <v>3137.0695745448384</v>
      </c>
      <c r="N79" s="4">
        <v>3039.6471812377008</v>
      </c>
      <c r="O79" s="4">
        <v>3900.4184796997165</v>
      </c>
      <c r="P79" s="4">
        <v>4600.1023602111482</v>
      </c>
      <c r="Q79" s="4">
        <v>5283.7872178720354</v>
      </c>
      <c r="R79" s="4">
        <v>6461.3524111395627</v>
      </c>
      <c r="S79" s="4">
        <v>6227.7885753175042</v>
      </c>
      <c r="T79" s="4">
        <v>4324.3166065770283</v>
      </c>
      <c r="U79" s="4">
        <v>5882.990033</v>
      </c>
      <c r="V79" s="4">
        <v>4431.1567482746123</v>
      </c>
      <c r="W79" s="4">
        <v>5914.5303035464549</v>
      </c>
      <c r="X79" s="4">
        <v>6728.3370290650219</v>
      </c>
      <c r="Y79" s="4">
        <v>4967.2972515345919</v>
      </c>
      <c r="Z79" s="4">
        <v>5374.3092715369639</v>
      </c>
      <c r="AA79" s="4">
        <v>6920.5963926805789</v>
      </c>
      <c r="AB79" s="4">
        <v>4319.5023828867743</v>
      </c>
      <c r="AC79" s="4">
        <v>5540.9373355391244</v>
      </c>
      <c r="AD79" s="4">
        <v>7215.460176542485</v>
      </c>
      <c r="AE79" s="4">
        <v>6515.4439780488228</v>
      </c>
      <c r="AF79" s="4">
        <v>4861.9886710971459</v>
      </c>
      <c r="AG79" s="5">
        <v>6730.0469241500468</v>
      </c>
      <c r="AH79" s="4">
        <f t="shared" si="0"/>
        <v>158056.22868813481</v>
      </c>
      <c r="AI79" s="3">
        <f t="shared" si="1"/>
        <v>28</v>
      </c>
      <c r="AJ79" s="4">
        <f t="shared" si="2"/>
        <v>5644.8653102905291</v>
      </c>
    </row>
    <row r="80" spans="1:36" ht="13" x14ac:dyDescent="0.15">
      <c r="A80" s="3" t="s">
        <v>90</v>
      </c>
      <c r="B80" s="3" t="s">
        <v>17</v>
      </c>
      <c r="C80" s="4">
        <v>9068.6280863951615</v>
      </c>
      <c r="D80" s="4">
        <v>10596.870551789021</v>
      </c>
      <c r="E80" s="4">
        <v>9021.0945754154418</v>
      </c>
      <c r="F80" s="4">
        <v>5547.856801295874</v>
      </c>
      <c r="G80" s="4">
        <v>7625.9985521898643</v>
      </c>
      <c r="H80" s="4">
        <v>6771.5441831562421</v>
      </c>
      <c r="I80" s="4">
        <v>7043.8940277632391</v>
      </c>
      <c r="J80" s="4">
        <v>6746.7377582293302</v>
      </c>
      <c r="K80" s="4">
        <v>7842.4139308352915</v>
      </c>
      <c r="L80" s="4">
        <v>6942.5612367245594</v>
      </c>
      <c r="M80" s="4">
        <v>7231.3603635716445</v>
      </c>
      <c r="N80" s="4">
        <v>5791.4371090577215</v>
      </c>
      <c r="O80" s="4">
        <v>6512.94714775385</v>
      </c>
      <c r="P80" s="4">
        <v>5781.6776868238476</v>
      </c>
      <c r="Q80" s="4">
        <v>4876.8062665731095</v>
      </c>
      <c r="R80" s="4">
        <v>5642.4665364179591</v>
      </c>
      <c r="S80" s="4">
        <v>6879.5316000296179</v>
      </c>
      <c r="T80" s="4">
        <v>5516.0860461505035</v>
      </c>
      <c r="U80" s="4">
        <v>6283.2535969999999</v>
      </c>
      <c r="V80" s="4">
        <v>5819.7874171720841</v>
      </c>
      <c r="W80" s="4">
        <v>7799.5828144332809</v>
      </c>
      <c r="X80" s="4">
        <v>6974.1445527859996</v>
      </c>
      <c r="Y80" s="4">
        <v>6211.5014825618937</v>
      </c>
      <c r="Z80" s="4">
        <v>6545.5606644964582</v>
      </c>
      <c r="AA80" s="4">
        <v>5979.6184851470362</v>
      </c>
      <c r="AB80" s="4">
        <v>5817.8131541191669</v>
      </c>
      <c r="AC80" s="4">
        <v>8292.0488596622708</v>
      </c>
      <c r="AD80" s="4">
        <v>6824.5481785320826</v>
      </c>
      <c r="AE80" s="4">
        <v>9031.2392201328094</v>
      </c>
      <c r="AF80" s="4">
        <v>8701.3668946845137</v>
      </c>
      <c r="AG80" s="5">
        <v>9232.2501921162529</v>
      </c>
      <c r="AH80" s="4">
        <f t="shared" si="0"/>
        <v>218952.62797301612</v>
      </c>
      <c r="AI80" s="3">
        <f t="shared" si="1"/>
        <v>31</v>
      </c>
      <c r="AJ80" s="4">
        <f t="shared" si="2"/>
        <v>7062.987999129552</v>
      </c>
    </row>
    <row r="81" spans="1:36" ht="13" x14ac:dyDescent="0.15">
      <c r="A81" s="3" t="s">
        <v>91</v>
      </c>
      <c r="B81" s="3" t="s">
        <v>6</v>
      </c>
      <c r="C81" s="4"/>
      <c r="D81" s="4"/>
      <c r="E81" s="4"/>
      <c r="F81" s="4"/>
      <c r="G81" s="4"/>
      <c r="H81" s="4"/>
      <c r="I81" s="4">
        <v>724.65642578604047</v>
      </c>
      <c r="J81" s="4">
        <v>1551.9773650371876</v>
      </c>
      <c r="K81" s="4">
        <v>2948.3408280319909</v>
      </c>
      <c r="L81" s="4">
        <v>2021.378753338739</v>
      </c>
      <c r="M81" s="4">
        <v>2093.9136025800499</v>
      </c>
      <c r="N81" s="4">
        <v>948.423975828224</v>
      </c>
      <c r="O81" s="4">
        <v>2149.377394309397</v>
      </c>
      <c r="P81" s="4">
        <v>2385.5554564182225</v>
      </c>
      <c r="Q81" s="4">
        <v>2036.281445709275</v>
      </c>
      <c r="R81" s="4">
        <v>737.05444244598641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3"/>
      <c r="AH81" s="4">
        <f t="shared" si="0"/>
        <v>17596.959689485113</v>
      </c>
      <c r="AI81" s="3">
        <f t="shared" si="1"/>
        <v>10</v>
      </c>
      <c r="AJ81" s="4">
        <f t="shared" si="2"/>
        <v>1759.6959689485113</v>
      </c>
    </row>
    <row r="82" spans="1:36" ht="13" x14ac:dyDescent="0.15">
      <c r="A82" s="3" t="s">
        <v>92</v>
      </c>
      <c r="B82" s="3" t="s">
        <v>45</v>
      </c>
      <c r="C82" s="4">
        <v>881.42144774495182</v>
      </c>
      <c r="D82" s="4">
        <v>4950.264776715977</v>
      </c>
      <c r="E82" s="4">
        <v>4868.1213301103262</v>
      </c>
      <c r="F82" s="4">
        <v>4508.7528112095815</v>
      </c>
      <c r="G82" s="4">
        <v>4845.3811919025893</v>
      </c>
      <c r="H82" s="4">
        <v>4899.6676988917652</v>
      </c>
      <c r="I82" s="4">
        <v>5990.0952463402073</v>
      </c>
      <c r="J82" s="4">
        <v>5224.7463578951256</v>
      </c>
      <c r="K82" s="4">
        <v>5991.9483019198515</v>
      </c>
      <c r="L82" s="4">
        <v>5864.9183708035416</v>
      </c>
      <c r="M82" s="4">
        <v>4051.4796794709414</v>
      </c>
      <c r="N82" s="4">
        <v>3198.956617890919</v>
      </c>
      <c r="O82" s="4">
        <v>5934.5946938650823</v>
      </c>
      <c r="P82" s="4">
        <v>5246.7012350628811</v>
      </c>
      <c r="Q82" s="4">
        <v>5146.3940665182254</v>
      </c>
      <c r="R82" s="4">
        <v>4235.6994300435654</v>
      </c>
      <c r="S82" s="4">
        <v>4781.3379718072301</v>
      </c>
      <c r="T82" s="4">
        <v>4003.4762187307715</v>
      </c>
      <c r="U82" s="4">
        <v>6284.2395239999996</v>
      </c>
      <c r="V82" s="4">
        <v>5002.0291555943122</v>
      </c>
      <c r="W82" s="4">
        <v>5876.3222296316444</v>
      </c>
      <c r="X82" s="4">
        <v>5057.0500181385551</v>
      </c>
      <c r="Y82" s="4">
        <v>4758.2133135977347</v>
      </c>
      <c r="Z82" s="4">
        <v>2085.8669518297966</v>
      </c>
      <c r="AA82" s="4">
        <v>5390.4684391238807</v>
      </c>
      <c r="AB82" s="4">
        <v>5130.8156229280248</v>
      </c>
      <c r="AC82" s="4">
        <v>4880.5098263413638</v>
      </c>
      <c r="AD82" s="4">
        <v>4157.6148077122234</v>
      </c>
      <c r="AE82" s="4">
        <v>7061.4139264374062</v>
      </c>
      <c r="AF82" s="4">
        <v>5281.6403177803877</v>
      </c>
      <c r="AG82" s="5">
        <v>6557.1305147655085</v>
      </c>
      <c r="AH82" s="4">
        <f t="shared" si="0"/>
        <v>152147.27209480439</v>
      </c>
      <c r="AI82" s="3">
        <f t="shared" si="1"/>
        <v>31</v>
      </c>
      <c r="AJ82" s="4">
        <f t="shared" si="2"/>
        <v>4907.9765191872384</v>
      </c>
    </row>
    <row r="83" spans="1:36" ht="13" x14ac:dyDescent="0.15">
      <c r="A83" s="3" t="s">
        <v>93</v>
      </c>
      <c r="B83" s="3" t="s">
        <v>6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>
        <v>270.36546390568128</v>
      </c>
      <c r="O83" s="4">
        <v>4447.3582526421305</v>
      </c>
      <c r="P83" s="4">
        <v>4669.4934902510877</v>
      </c>
      <c r="Q83" s="4">
        <v>8274.1974134340235</v>
      </c>
      <c r="R83" s="4">
        <v>5653.297651661881</v>
      </c>
      <c r="S83" s="4">
        <v>6266.6370633529114</v>
      </c>
      <c r="T83" s="4">
        <v>6205.8661784480428</v>
      </c>
      <c r="U83" s="4">
        <v>8458.6656459999995</v>
      </c>
      <c r="V83" s="4">
        <v>9678.5144327429389</v>
      </c>
      <c r="W83" s="4">
        <v>9228.6003099294285</v>
      </c>
      <c r="X83" s="4">
        <v>11855.047343786999</v>
      </c>
      <c r="Y83" s="4">
        <v>10617.225630084551</v>
      </c>
      <c r="Z83" s="4">
        <v>9677.9447468201088</v>
      </c>
      <c r="AA83" s="4">
        <v>10487.559279744202</v>
      </c>
      <c r="AB83" s="4">
        <v>9995.9350219604657</v>
      </c>
      <c r="AC83" s="4">
        <v>12284.366318180591</v>
      </c>
      <c r="AD83" s="4">
        <v>10954.159090348536</v>
      </c>
      <c r="AE83" s="4">
        <v>10830.057406802114</v>
      </c>
      <c r="AF83" s="4">
        <v>9399.0821817685792</v>
      </c>
      <c r="AG83" s="5">
        <v>15401.692719226516</v>
      </c>
      <c r="AH83" s="4">
        <f t="shared" si="0"/>
        <v>174656.0656410908</v>
      </c>
      <c r="AI83" s="3">
        <f t="shared" si="1"/>
        <v>20</v>
      </c>
      <c r="AJ83" s="4">
        <f t="shared" si="2"/>
        <v>8732.8032820545395</v>
      </c>
    </row>
    <row r="84" spans="1:36" ht="13" x14ac:dyDescent="0.15">
      <c r="A84" s="3" t="s">
        <v>94</v>
      </c>
      <c r="B84" s="3" t="s">
        <v>6</v>
      </c>
      <c r="C84" s="4">
        <v>17199.915226969268</v>
      </c>
      <c r="D84" s="4">
        <v>17270.29774290014</v>
      </c>
      <c r="E84" s="4">
        <v>14377.493786669096</v>
      </c>
      <c r="F84" s="4">
        <v>11415.983808951865</v>
      </c>
      <c r="G84" s="4">
        <v>11191.205417910007</v>
      </c>
      <c r="H84" s="4">
        <v>8590.8069569886666</v>
      </c>
      <c r="I84" s="4">
        <v>10622.804949311667</v>
      </c>
      <c r="J84" s="4">
        <v>10920.617235358961</v>
      </c>
      <c r="K84" s="4">
        <v>13121.825801379138</v>
      </c>
      <c r="L84" s="4">
        <v>13664.381577186174</v>
      </c>
      <c r="M84" s="4">
        <v>12184.372583099534</v>
      </c>
      <c r="N84" s="4">
        <v>11749.826075158489</v>
      </c>
      <c r="O84" s="4">
        <v>12632.542115144419</v>
      </c>
      <c r="P84" s="4">
        <v>10251.638652321972</v>
      </c>
      <c r="Q84" s="4">
        <v>13981.571793352014</v>
      </c>
      <c r="R84" s="4">
        <v>13051.411224173225</v>
      </c>
      <c r="S84" s="4">
        <v>13059.537442493927</v>
      </c>
      <c r="T84" s="4">
        <v>11891.247222783608</v>
      </c>
      <c r="U84" s="4">
        <v>15212.850710000001</v>
      </c>
      <c r="V84" s="4">
        <v>15092.069731641521</v>
      </c>
      <c r="W84" s="4">
        <v>16913.385119222745</v>
      </c>
      <c r="X84" s="4">
        <v>19051.598569016416</v>
      </c>
      <c r="Y84" s="4">
        <v>14699.235941008308</v>
      </c>
      <c r="Z84" s="4">
        <v>13540.749635185864</v>
      </c>
      <c r="AA84" s="4">
        <v>14396.448376627577</v>
      </c>
      <c r="AB84" s="4">
        <v>13930.131137780414</v>
      </c>
      <c r="AC84" s="4">
        <v>13934.262012821669</v>
      </c>
      <c r="AD84" s="4">
        <v>13042.396582546697</v>
      </c>
      <c r="AE84" s="4">
        <v>13487.378599788402</v>
      </c>
      <c r="AF84" s="4">
        <v>14914.568320980094</v>
      </c>
      <c r="AG84" s="5">
        <v>19327.020211737257</v>
      </c>
      <c r="AH84" s="4">
        <f t="shared" si="0"/>
        <v>424719.5745605093</v>
      </c>
      <c r="AI84" s="3">
        <f t="shared" si="1"/>
        <v>31</v>
      </c>
      <c r="AJ84" s="4">
        <f t="shared" si="2"/>
        <v>13700.631437435784</v>
      </c>
    </row>
    <row r="85" spans="1:36" ht="13" x14ac:dyDescent="0.15">
      <c r="A85" s="3" t="s">
        <v>95</v>
      </c>
      <c r="B85" s="3" t="s">
        <v>6</v>
      </c>
      <c r="C85" s="4">
        <v>10373.84479070877</v>
      </c>
      <c r="D85" s="4">
        <v>6312.7841833311759</v>
      </c>
      <c r="E85" s="4">
        <v>5760.3957266624911</v>
      </c>
      <c r="F85" s="4">
        <v>4515.7759806888798</v>
      </c>
      <c r="G85" s="4">
        <v>6086.0810528376796</v>
      </c>
      <c r="H85" s="4">
        <v>6021.5484230141801</v>
      </c>
      <c r="I85" s="4">
        <v>7601.1455168534339</v>
      </c>
      <c r="J85" s="4">
        <v>7589.7940970869813</v>
      </c>
      <c r="K85" s="4">
        <v>6240.2009226281634</v>
      </c>
      <c r="L85" s="4">
        <v>7929.9037716733192</v>
      </c>
      <c r="M85" s="4">
        <v>7219.363710482392</v>
      </c>
      <c r="N85" s="4">
        <v>5977.052291931207</v>
      </c>
      <c r="O85" s="4">
        <v>7979.7021488541668</v>
      </c>
      <c r="P85" s="4">
        <v>4297.0830467587639</v>
      </c>
      <c r="Q85" s="4">
        <v>5690.0520160680207</v>
      </c>
      <c r="R85" s="4">
        <v>6461.950779636124</v>
      </c>
      <c r="S85" s="4">
        <v>4546.0248479387283</v>
      </c>
      <c r="T85" s="4">
        <v>6428.809834954468</v>
      </c>
      <c r="U85" s="4">
        <v>7797.6897440000002</v>
      </c>
      <c r="V85" s="4">
        <v>5669.0997912805997</v>
      </c>
      <c r="W85" s="4">
        <v>10228.659101809197</v>
      </c>
      <c r="X85" s="4">
        <v>12946.24866946212</v>
      </c>
      <c r="Y85" s="4">
        <v>12201.203005277637</v>
      </c>
      <c r="Z85" s="4">
        <v>11273.847744842084</v>
      </c>
      <c r="AA85" s="4">
        <v>9161.2522527328747</v>
      </c>
      <c r="AB85" s="4">
        <v>10175.203817698604</v>
      </c>
      <c r="AC85" s="4">
        <v>9642.7798885169577</v>
      </c>
      <c r="AD85" s="4">
        <v>13653.288213418542</v>
      </c>
      <c r="AE85" s="4">
        <v>12532.873963548316</v>
      </c>
      <c r="AF85" s="4">
        <v>12569.036141443921</v>
      </c>
      <c r="AG85" s="5">
        <v>14756.520067209156</v>
      </c>
      <c r="AH85" s="4">
        <f t="shared" si="0"/>
        <v>259639.21554334895</v>
      </c>
      <c r="AI85" s="3">
        <f t="shared" si="1"/>
        <v>31</v>
      </c>
      <c r="AJ85" s="4">
        <f t="shared" si="2"/>
        <v>8375.4585659144832</v>
      </c>
    </row>
    <row r="86" spans="1:36" ht="13" x14ac:dyDescent="0.15">
      <c r="A86" s="3" t="s">
        <v>96</v>
      </c>
      <c r="B86" s="3" t="s">
        <v>45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>
        <v>1326.3041864913621</v>
      </c>
      <c r="S86" s="4">
        <v>5147.4009775348595</v>
      </c>
      <c r="T86" s="4">
        <v>4038.46125411292</v>
      </c>
      <c r="U86" s="4">
        <v>5123.9266639999996</v>
      </c>
      <c r="V86" s="4">
        <v>4196.2516580525407</v>
      </c>
      <c r="W86" s="4">
        <v>4606.6925039340376</v>
      </c>
      <c r="X86" s="4">
        <v>3445.6921330463178</v>
      </c>
      <c r="Y86" s="4">
        <v>3088.5574850473727</v>
      </c>
      <c r="Z86" s="4">
        <v>1620.3691569515502</v>
      </c>
      <c r="AA86" s="4">
        <v>5234.9519942292691</v>
      </c>
      <c r="AB86" s="4">
        <v>5021.446985923998</v>
      </c>
      <c r="AC86" s="4">
        <v>4763.7518706847804</v>
      </c>
      <c r="AD86" s="4">
        <v>3759.9977079634068</v>
      </c>
      <c r="AE86" s="4">
        <v>4174.5208487425716</v>
      </c>
      <c r="AF86" s="4">
        <v>5458.3500504110843</v>
      </c>
      <c r="AG86" s="5">
        <v>5777.5330968416902</v>
      </c>
      <c r="AH86" s="4">
        <f t="shared" si="0"/>
        <v>66784.208573967757</v>
      </c>
      <c r="AI86" s="3">
        <f t="shared" si="1"/>
        <v>16</v>
      </c>
      <c r="AJ86" s="4">
        <f t="shared" si="2"/>
        <v>4174.0130358729848</v>
      </c>
    </row>
    <row r="87" spans="1:36" ht="13" x14ac:dyDescent="0.15">
      <c r="A87" s="3" t="s">
        <v>97</v>
      </c>
      <c r="B87" s="3" t="s">
        <v>11</v>
      </c>
      <c r="C87" s="4">
        <v>1569.0245001621965</v>
      </c>
      <c r="D87" s="4">
        <v>5620.8768248154356</v>
      </c>
      <c r="E87" s="4">
        <v>4638.1183191382115</v>
      </c>
      <c r="F87" s="4">
        <v>2490.9575459946732</v>
      </c>
      <c r="G87" s="4">
        <v>4150.3276046522005</v>
      </c>
      <c r="H87" s="4">
        <v>2252.1662533425038</v>
      </c>
      <c r="I87" s="4">
        <v>3235.2067088396561</v>
      </c>
      <c r="J87" s="4">
        <v>3915.5677423497864</v>
      </c>
      <c r="K87" s="4">
        <v>3152.5544223120287</v>
      </c>
      <c r="L87" s="4">
        <v>4441.5598847213978</v>
      </c>
      <c r="M87" s="4">
        <v>4244.1104102106738</v>
      </c>
      <c r="N87" s="4">
        <v>3614.9100135505009</v>
      </c>
      <c r="O87" s="4">
        <v>4250.7282626106744</v>
      </c>
      <c r="P87" s="4">
        <v>4729.5092734927221</v>
      </c>
      <c r="Q87" s="4">
        <v>3627.7176187257178</v>
      </c>
      <c r="R87" s="4">
        <v>2633.3683399521087</v>
      </c>
      <c r="S87" s="4">
        <v>2360.2125695049094</v>
      </c>
      <c r="T87" s="4">
        <v>1892.908491894435</v>
      </c>
      <c r="U87" s="4">
        <v>2802.225242</v>
      </c>
      <c r="V87" s="4">
        <v>4577.3757680527133</v>
      </c>
      <c r="W87" s="4">
        <v>4470.2651797577255</v>
      </c>
      <c r="X87" s="4">
        <v>5195.5200318474417</v>
      </c>
      <c r="Y87" s="4">
        <v>5868.0910175511253</v>
      </c>
      <c r="Z87" s="4">
        <v>6167.7611888838555</v>
      </c>
      <c r="AA87" s="4">
        <v>6561.7701011326717</v>
      </c>
      <c r="AB87" s="4">
        <v>6196.6803090149033</v>
      </c>
      <c r="AC87" s="4">
        <v>5896.0609368607529</v>
      </c>
      <c r="AD87" s="4">
        <v>7312.4886954710628</v>
      </c>
      <c r="AE87" s="4">
        <v>7089.0605377694446</v>
      </c>
      <c r="AF87" s="4">
        <v>5324.3793292442197</v>
      </c>
      <c r="AG87" s="5">
        <v>6846.6868042951719</v>
      </c>
      <c r="AH87" s="4">
        <f t="shared" si="0"/>
        <v>137128.18992815094</v>
      </c>
      <c r="AI87" s="3">
        <f t="shared" si="1"/>
        <v>31</v>
      </c>
      <c r="AJ87" s="4">
        <f t="shared" si="2"/>
        <v>4423.489997682288</v>
      </c>
    </row>
    <row r="88" spans="1:36" ht="13" x14ac:dyDescent="0.15">
      <c r="A88" s="3" t="s">
        <v>98</v>
      </c>
      <c r="B88" s="3" t="s">
        <v>27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>
        <v>2533.9280027039035</v>
      </c>
      <c r="W88" s="4">
        <v>5759.5320428339401</v>
      </c>
      <c r="X88" s="4">
        <v>6014.6854113483932</v>
      </c>
      <c r="Y88" s="4">
        <v>5412.5045997634616</v>
      </c>
      <c r="Z88" s="4">
        <v>3868.8652564457416</v>
      </c>
      <c r="AA88" s="4">
        <v>4498.5908858287039</v>
      </c>
      <c r="AB88" s="4">
        <v>4998.7275184609834</v>
      </c>
      <c r="AC88" s="4">
        <v>3660.3019083318463</v>
      </c>
      <c r="AD88" s="4">
        <v>4523.6989622288283</v>
      </c>
      <c r="AE88" s="4">
        <v>4084.7875694937129</v>
      </c>
      <c r="AF88" s="4">
        <v>4756.9632058335792</v>
      </c>
      <c r="AG88" s="5">
        <v>3853.2449301418114</v>
      </c>
      <c r="AH88" s="4">
        <f t="shared" si="0"/>
        <v>53965.830293414896</v>
      </c>
      <c r="AI88" s="3">
        <f t="shared" si="1"/>
        <v>12</v>
      </c>
      <c r="AJ88" s="4">
        <f t="shared" si="2"/>
        <v>4497.1525244512413</v>
      </c>
    </row>
    <row r="89" spans="1:36" ht="13" x14ac:dyDescent="0.15">
      <c r="A89" s="3" t="s">
        <v>99</v>
      </c>
      <c r="B89" s="3" t="s">
        <v>13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>
        <v>6375.1478277399601</v>
      </c>
      <c r="X89" s="4">
        <v>9211.3867634411818</v>
      </c>
      <c r="Y89" s="4">
        <v>7704.1165432204389</v>
      </c>
      <c r="Z89" s="4">
        <v>6917.0099579190774</v>
      </c>
      <c r="AA89" s="4">
        <v>8786.5892116942287</v>
      </c>
      <c r="AB89" s="4">
        <v>5745.6524817358586</v>
      </c>
      <c r="AC89" s="4">
        <v>5544.0346101272225</v>
      </c>
      <c r="AD89" s="4">
        <v>6914.4559682962763</v>
      </c>
      <c r="AE89" s="4">
        <v>6582.7456003027755</v>
      </c>
      <c r="AF89" s="4">
        <v>7616.2307964631636</v>
      </c>
      <c r="AG89" s="5">
        <v>6778.699082373304</v>
      </c>
      <c r="AH89" s="4">
        <f t="shared" si="0"/>
        <v>78176.068843313493</v>
      </c>
      <c r="AI89" s="3">
        <f t="shared" si="1"/>
        <v>11</v>
      </c>
      <c r="AJ89" s="4">
        <f t="shared" si="2"/>
        <v>7106.9153493921358</v>
      </c>
    </row>
    <row r="90" spans="1:36" ht="13" x14ac:dyDescent="0.15">
      <c r="A90" s="6" t="s">
        <v>100</v>
      </c>
      <c r="B90" s="3" t="s">
        <v>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4"/>
      <c r="X90" s="4">
        <v>7102.8229779930052</v>
      </c>
      <c r="Y90" s="4">
        <v>10132.289758234327</v>
      </c>
      <c r="Z90" s="4">
        <v>7454.0296359009681</v>
      </c>
      <c r="AA90" s="4">
        <v>12530.426006459016</v>
      </c>
      <c r="AB90" s="4">
        <v>10298.17550657179</v>
      </c>
      <c r="AC90" s="4">
        <v>10859.125705992297</v>
      </c>
      <c r="AD90" s="4">
        <v>10558.050417513934</v>
      </c>
      <c r="AE90" s="4">
        <v>9229.3800664281171</v>
      </c>
      <c r="AF90" s="4">
        <v>10327.23419148008</v>
      </c>
      <c r="AG90" s="5">
        <v>12500.931294059968</v>
      </c>
      <c r="AH90" s="4">
        <f t="shared" si="0"/>
        <v>100992.46556063349</v>
      </c>
      <c r="AI90" s="3">
        <f t="shared" si="1"/>
        <v>10</v>
      </c>
      <c r="AJ90" s="4">
        <f t="shared" si="2"/>
        <v>10099.246556063348</v>
      </c>
    </row>
    <row r="91" spans="1:36" ht="13" x14ac:dyDescent="0.15">
      <c r="A91" s="3" t="s">
        <v>101</v>
      </c>
      <c r="B91" s="3" t="s">
        <v>45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4">
        <v>532.17923462494446</v>
      </c>
      <c r="Y91" s="4">
        <v>1564.3254852759189</v>
      </c>
      <c r="Z91" s="4">
        <v>783.01916463977182</v>
      </c>
      <c r="AA91" s="4">
        <v>1953.2431605508118</v>
      </c>
      <c r="AB91" s="4">
        <v>1868.0978370252969</v>
      </c>
      <c r="AC91" s="4">
        <v>2493.9281089076744</v>
      </c>
      <c r="AD91" s="4">
        <v>2130.3836792383108</v>
      </c>
      <c r="AE91" s="4">
        <v>2608.3747220525465</v>
      </c>
      <c r="AF91" s="4">
        <v>2015.057496353425</v>
      </c>
      <c r="AG91" s="5">
        <v>3674.5835650924096</v>
      </c>
      <c r="AH91" s="4">
        <f t="shared" si="0"/>
        <v>19623.192453761112</v>
      </c>
      <c r="AI91" s="3">
        <f t="shared" si="1"/>
        <v>10</v>
      </c>
      <c r="AJ91" s="4">
        <f t="shared" si="2"/>
        <v>1962.3192453761112</v>
      </c>
    </row>
    <row r="92" spans="1:36" ht="13" x14ac:dyDescent="0.15">
      <c r="A92" s="3" t="s">
        <v>102</v>
      </c>
      <c r="B92" s="3" t="s">
        <v>27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4">
        <v>270.63947244551485</v>
      </c>
      <c r="Y92" s="4">
        <v>6488.2256587647144</v>
      </c>
      <c r="Z92" s="4">
        <v>7342.7357053674532</v>
      </c>
      <c r="AA92" s="4">
        <v>6128.7158451919131</v>
      </c>
      <c r="AB92" s="4">
        <v>6663.2632230293757</v>
      </c>
      <c r="AC92" s="4">
        <v>7990.0491402919433</v>
      </c>
      <c r="AD92" s="4">
        <v>4973.8769400472875</v>
      </c>
      <c r="AE92" s="4">
        <v>5391.7341366116743</v>
      </c>
      <c r="AF92" s="4">
        <v>6907.3826281832462</v>
      </c>
      <c r="AG92" s="5">
        <v>6790.9154604398209</v>
      </c>
      <c r="AH92" s="4">
        <f t="shared" si="0"/>
        <v>58947.538210372943</v>
      </c>
      <c r="AI92" s="3">
        <f t="shared" si="1"/>
        <v>10</v>
      </c>
      <c r="AJ92" s="4">
        <f t="shared" si="2"/>
        <v>5894.7538210372941</v>
      </c>
    </row>
    <row r="93" spans="1:36" ht="13" x14ac:dyDescent="0.15">
      <c r="A93" s="3" t="s">
        <v>103</v>
      </c>
      <c r="B93" s="3" t="s">
        <v>6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4"/>
      <c r="Y93" s="4"/>
      <c r="Z93" s="4"/>
      <c r="AA93" s="4">
        <v>3978.2494044009459</v>
      </c>
      <c r="AB93" s="4">
        <v>4428.771321923542</v>
      </c>
      <c r="AC93" s="4">
        <v>5761.2785666239979</v>
      </c>
      <c r="AD93" s="4">
        <v>5728.9928795170154</v>
      </c>
      <c r="AE93" s="4">
        <v>1720.0786182456261</v>
      </c>
      <c r="AF93" s="4">
        <v>164.3097132921047</v>
      </c>
      <c r="AG93" s="4"/>
      <c r="AH93" s="4">
        <f t="shared" si="0"/>
        <v>21781.68050400323</v>
      </c>
      <c r="AI93" s="3">
        <f t="shared" si="1"/>
        <v>6</v>
      </c>
      <c r="AJ93" s="4">
        <f t="shared" si="2"/>
        <v>3630.2800840005384</v>
      </c>
    </row>
    <row r="94" spans="1:36" ht="13" x14ac:dyDescent="0.15">
      <c r="A94" s="3" t="s">
        <v>104</v>
      </c>
      <c r="B94" s="3" t="s">
        <v>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4"/>
      <c r="Z94" s="4">
        <v>2335.3928871395474</v>
      </c>
      <c r="AA94" s="4">
        <v>6653.0729817581123</v>
      </c>
      <c r="AB94" s="4">
        <v>5375.8358041635674</v>
      </c>
      <c r="AC94" s="4">
        <v>6148.7300044337608</v>
      </c>
      <c r="AD94" s="4">
        <v>7006.3903474395584</v>
      </c>
      <c r="AE94" s="4">
        <v>5773.7902079856867</v>
      </c>
      <c r="AF94" s="4">
        <v>5653.8942675647386</v>
      </c>
      <c r="AG94" s="5">
        <v>7632.9545948495843</v>
      </c>
      <c r="AH94" s="4">
        <f t="shared" si="0"/>
        <v>46580.061095334568</v>
      </c>
      <c r="AI94" s="3">
        <f t="shared" si="1"/>
        <v>8</v>
      </c>
      <c r="AJ94" s="4">
        <f t="shared" si="2"/>
        <v>5822.507636916821</v>
      </c>
    </row>
    <row r="95" spans="1:36" ht="13" x14ac:dyDescent="0.15">
      <c r="A95" s="3" t="s">
        <v>105</v>
      </c>
      <c r="B95" s="3" t="s">
        <v>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4"/>
      <c r="Z95" s="4"/>
      <c r="AA95" s="4"/>
      <c r="AB95" s="4">
        <v>3584.3299676704601</v>
      </c>
      <c r="AC95" s="4">
        <v>6017.4979692324723</v>
      </c>
      <c r="AD95" s="4">
        <v>8869.7477103190486</v>
      </c>
      <c r="AE95" s="4">
        <v>7184.3531155567789</v>
      </c>
      <c r="AF95" s="4">
        <v>8475.1937646420429</v>
      </c>
      <c r="AG95" s="5">
        <v>10697.045630579978</v>
      </c>
      <c r="AH95" s="4">
        <f t="shared" si="0"/>
        <v>44828.168158000786</v>
      </c>
      <c r="AI95" s="3">
        <f t="shared" si="1"/>
        <v>6</v>
      </c>
      <c r="AJ95" s="4">
        <f t="shared" si="2"/>
        <v>7471.3613596667974</v>
      </c>
    </row>
    <row r="96" spans="1:36" ht="13" x14ac:dyDescent="0.15">
      <c r="A96" s="3" t="s">
        <v>106</v>
      </c>
      <c r="B96" s="3" t="s">
        <v>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4"/>
      <c r="AC96" s="4">
        <v>2361.3986339012017</v>
      </c>
      <c r="AD96" s="4">
        <v>6289.6963672039856</v>
      </c>
      <c r="AE96" s="4">
        <v>6752.270940638924</v>
      </c>
      <c r="AF96" s="4">
        <v>4501.8165908363026</v>
      </c>
      <c r="AG96" s="5">
        <v>6082.8182596841962</v>
      </c>
      <c r="AH96" s="4">
        <f t="shared" si="0"/>
        <v>25988.000792264611</v>
      </c>
      <c r="AI96" s="3">
        <f t="shared" si="1"/>
        <v>5</v>
      </c>
      <c r="AJ96" s="4">
        <f t="shared" si="2"/>
        <v>5197.6001584529222</v>
      </c>
    </row>
    <row r="97" spans="1:36" ht="13" x14ac:dyDescent="0.15">
      <c r="A97" s="3" t="s">
        <v>107</v>
      </c>
      <c r="B97" s="3" t="s">
        <v>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4">
        <v>1098.7031910555313</v>
      </c>
      <c r="AD97" s="4">
        <v>4870.8908551156755</v>
      </c>
      <c r="AE97" s="4">
        <v>4137.373084002822</v>
      </c>
      <c r="AF97" s="4">
        <v>4046.553743184566</v>
      </c>
      <c r="AG97" s="5">
        <v>4834.7027953964207</v>
      </c>
      <c r="AH97" s="4">
        <f t="shared" si="0"/>
        <v>18988.223668755018</v>
      </c>
      <c r="AI97" s="3">
        <f t="shared" si="1"/>
        <v>5</v>
      </c>
      <c r="AJ97" s="4">
        <f t="shared" si="2"/>
        <v>3797.6447337510035</v>
      </c>
    </row>
    <row r="98" spans="1:36" ht="13" x14ac:dyDescent="0.15">
      <c r="A98" s="3" t="s">
        <v>108</v>
      </c>
      <c r="B98" s="3" t="s">
        <v>27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4">
        <v>1718.9796060212175</v>
      </c>
      <c r="AD98" s="4">
        <v>5842.0873949706483</v>
      </c>
      <c r="AE98" s="4">
        <v>6677.7460647869393</v>
      </c>
      <c r="AF98" s="4">
        <v>4311.2963501370905</v>
      </c>
      <c r="AG98" s="5">
        <v>7638.057285353616</v>
      </c>
      <c r="AH98" s="4">
        <f t="shared" si="0"/>
        <v>26188.166701269511</v>
      </c>
      <c r="AI98" s="3">
        <f t="shared" si="1"/>
        <v>5</v>
      </c>
      <c r="AJ98" s="4">
        <f t="shared" si="2"/>
        <v>5237.6333402539021</v>
      </c>
    </row>
    <row r="99" spans="1:36" ht="13" x14ac:dyDescent="0.15">
      <c r="A99" s="3" t="s">
        <v>109</v>
      </c>
      <c r="B99" s="3" t="s">
        <v>13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4"/>
      <c r="AD99" s="4"/>
      <c r="AE99" s="4">
        <v>7386.3933148686556</v>
      </c>
      <c r="AF99" s="4">
        <v>4628.0449947846037</v>
      </c>
      <c r="AG99" s="5">
        <v>4886.9389424787805</v>
      </c>
      <c r="AH99" s="4">
        <f t="shared" si="0"/>
        <v>16901.377252132039</v>
      </c>
      <c r="AI99" s="3">
        <f t="shared" si="1"/>
        <v>3</v>
      </c>
      <c r="AJ99" s="4">
        <f t="shared" si="2"/>
        <v>5633.7924173773463</v>
      </c>
    </row>
    <row r="100" spans="1:36" ht="13" x14ac:dyDescent="0.15">
      <c r="A100" s="6" t="s">
        <v>110</v>
      </c>
      <c r="B100" s="3" t="s">
        <v>111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4"/>
      <c r="AD100" s="4"/>
      <c r="AE100" s="4">
        <v>1537.1370417307019</v>
      </c>
      <c r="AF100" s="4">
        <v>1971.9066023061735</v>
      </c>
      <c r="AG100" s="3">
        <v>1170.0611440523562</v>
      </c>
      <c r="AH100" s="4">
        <f t="shared" si="0"/>
        <v>4679.1047880892311</v>
      </c>
      <c r="AI100" s="3">
        <f t="shared" si="1"/>
        <v>3</v>
      </c>
      <c r="AJ100" s="4">
        <f t="shared" si="2"/>
        <v>1559.7015960297438</v>
      </c>
    </row>
    <row r="101" spans="1:36" ht="13" x14ac:dyDescent="0.15">
      <c r="A101" s="3" t="s">
        <v>112</v>
      </c>
      <c r="B101" s="3" t="s">
        <v>113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4"/>
      <c r="AD101" s="4"/>
      <c r="AE101" s="4"/>
      <c r="AF101" s="4">
        <v>10254.297010766179</v>
      </c>
      <c r="AG101" s="5">
        <v>14847.936022308872</v>
      </c>
      <c r="AH101" s="4">
        <f t="shared" si="0"/>
        <v>25102.233033075048</v>
      </c>
      <c r="AI101" s="3">
        <f t="shared" si="1"/>
        <v>2</v>
      </c>
      <c r="AJ101" s="4">
        <f t="shared" si="2"/>
        <v>12551.116516537524</v>
      </c>
    </row>
    <row r="102" spans="1:36" ht="13" x14ac:dyDescent="0.15">
      <c r="A102" s="3" t="s">
        <v>114</v>
      </c>
      <c r="B102" s="3" t="s">
        <v>113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4"/>
      <c r="AD102" s="4"/>
      <c r="AE102" s="4"/>
      <c r="AF102" s="4"/>
      <c r="AG102" s="5">
        <v>4983.0924230000001</v>
      </c>
      <c r="AH102" s="4">
        <f t="shared" si="0"/>
        <v>4983.0924230000001</v>
      </c>
      <c r="AI102" s="3">
        <f t="shared" si="1"/>
        <v>1</v>
      </c>
      <c r="AJ102" s="4">
        <f t="shared" si="2"/>
        <v>4983.0924230000001</v>
      </c>
    </row>
    <row r="103" spans="1:36" ht="13" x14ac:dyDescent="0.15">
      <c r="A103" s="3" t="s">
        <v>115</v>
      </c>
      <c r="B103" s="3" t="s">
        <v>116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4"/>
      <c r="AD103" s="4"/>
      <c r="AE103" s="4"/>
      <c r="AF103" s="4"/>
      <c r="AG103" s="4"/>
      <c r="AH103" s="4">
        <f t="shared" si="0"/>
        <v>0</v>
      </c>
    </row>
    <row r="104" spans="1:36" ht="13" x14ac:dyDescent="0.15">
      <c r="A104" s="3" t="s">
        <v>117</v>
      </c>
      <c r="B104" s="3" t="s">
        <v>116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4"/>
      <c r="AE104" s="4"/>
      <c r="AF104" s="4"/>
      <c r="AG104" s="4"/>
      <c r="AH104" s="4">
        <f t="shared" si="0"/>
        <v>0</v>
      </c>
    </row>
    <row r="105" spans="1:36" ht="13" x14ac:dyDescent="0.15">
      <c r="A105" s="3" t="s">
        <v>118</v>
      </c>
      <c r="B105" s="3" t="s">
        <v>116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4"/>
      <c r="AE105" s="4"/>
      <c r="AF105" s="4"/>
      <c r="AG105" s="4"/>
      <c r="AH105" s="4">
        <f t="shared" si="0"/>
        <v>0</v>
      </c>
    </row>
    <row r="106" spans="1:36" ht="13" x14ac:dyDescent="0.15">
      <c r="A106" s="3" t="s">
        <v>119</v>
      </c>
      <c r="B106" s="3" t="s">
        <v>116</v>
      </c>
      <c r="AD106" s="4"/>
      <c r="AE106" s="4"/>
      <c r="AF106" s="4"/>
      <c r="AG106" s="4"/>
      <c r="AH106" s="4">
        <f t="shared" si="0"/>
        <v>0</v>
      </c>
    </row>
    <row r="107" spans="1:36" ht="13" x14ac:dyDescent="0.15">
      <c r="AD107" s="4"/>
      <c r="AE107" s="4"/>
      <c r="AF107" s="4"/>
      <c r="AG107" s="4"/>
      <c r="AH107" s="4"/>
    </row>
    <row r="108" spans="1:36" ht="13" x14ac:dyDescent="0.15">
      <c r="AD108" s="4"/>
      <c r="AE108" s="4"/>
      <c r="AF108" s="4"/>
      <c r="AG108" s="4"/>
      <c r="AH108" s="4"/>
    </row>
    <row r="109" spans="1:36" ht="13" x14ac:dyDescent="0.15">
      <c r="AD109" s="4"/>
      <c r="AE109" s="4"/>
      <c r="AF109" s="4"/>
      <c r="AG109" s="4"/>
      <c r="AH109" s="4"/>
    </row>
    <row r="110" spans="1:36" ht="13" x14ac:dyDescent="0.15">
      <c r="AD110" s="4"/>
      <c r="AE110" s="4"/>
      <c r="AF110" s="4"/>
      <c r="AG110" s="4"/>
      <c r="AH110" s="4"/>
    </row>
    <row r="111" spans="1:36" ht="13" x14ac:dyDescent="0.15">
      <c r="AF111" s="4"/>
      <c r="AG111" s="4"/>
      <c r="AH111" s="4"/>
    </row>
    <row r="112" spans="1:36" ht="13" x14ac:dyDescent="0.15">
      <c r="AF112" s="4"/>
      <c r="AG112" s="4"/>
      <c r="AH112" s="4"/>
    </row>
    <row r="113" spans="32:34" ht="13" x14ac:dyDescent="0.15">
      <c r="AF113" s="4"/>
      <c r="AG113" s="4"/>
      <c r="AH113" s="4"/>
    </row>
    <row r="114" spans="32:34" ht="13" x14ac:dyDescent="0.15">
      <c r="AF114" s="4"/>
      <c r="AG114" s="4"/>
      <c r="AH114" s="4"/>
    </row>
    <row r="115" spans="32:34" ht="13" x14ac:dyDescent="0.15">
      <c r="AF115" s="5"/>
      <c r="AG115" s="4"/>
      <c r="AH115" s="4"/>
    </row>
    <row r="116" spans="32:34" ht="13" x14ac:dyDescent="0.15">
      <c r="AF116" s="5"/>
      <c r="AG116" s="4"/>
      <c r="AH116" s="4"/>
    </row>
    <row r="117" spans="32:34" ht="13" x14ac:dyDescent="0.15">
      <c r="AF117" s="5"/>
      <c r="AG117" s="4"/>
      <c r="AH117" s="4"/>
    </row>
    <row r="118" spans="32:34" ht="13" x14ac:dyDescent="0.15">
      <c r="AF118" s="5"/>
      <c r="AG118" s="4"/>
      <c r="AH118" s="4"/>
    </row>
    <row r="119" spans="32:34" ht="13" x14ac:dyDescent="0.15">
      <c r="AF119" s="5"/>
      <c r="AG119" s="4"/>
      <c r="AH119" s="4"/>
    </row>
    <row r="120" spans="32:34" ht="13" x14ac:dyDescent="0.15">
      <c r="AF120" s="5"/>
      <c r="AG120" s="4"/>
      <c r="AH120" s="4"/>
    </row>
    <row r="121" spans="32:34" ht="13" x14ac:dyDescent="0.15">
      <c r="AF121" s="5"/>
      <c r="AG121" s="4"/>
      <c r="AH121" s="4"/>
    </row>
    <row r="122" spans="32:34" ht="13" x14ac:dyDescent="0.15">
      <c r="AF122" s="5"/>
      <c r="AG122" s="4"/>
      <c r="AH122" s="4"/>
    </row>
    <row r="123" spans="32:34" ht="13" x14ac:dyDescent="0.15">
      <c r="AF123" s="5"/>
      <c r="AG123" s="4"/>
      <c r="AH123" s="4"/>
    </row>
    <row r="124" spans="32:34" ht="13" x14ac:dyDescent="0.15">
      <c r="AF124" s="5"/>
      <c r="AG124" s="4"/>
      <c r="AH124" s="4"/>
    </row>
    <row r="125" spans="32:34" ht="13" x14ac:dyDescent="0.15">
      <c r="AF125" s="5"/>
      <c r="AG125" s="4"/>
      <c r="AH125" s="4"/>
    </row>
    <row r="126" spans="32:34" ht="13" x14ac:dyDescent="0.15">
      <c r="AF126" s="5"/>
      <c r="AG126" s="4"/>
      <c r="AH126" s="4"/>
    </row>
    <row r="127" spans="32:34" ht="13" x14ac:dyDescent="0.15">
      <c r="AF127" s="5"/>
      <c r="AG127" s="4"/>
      <c r="AH127" s="4"/>
    </row>
    <row r="128" spans="32:34" ht="13" x14ac:dyDescent="0.15">
      <c r="AF128" s="5"/>
      <c r="AG128" s="4"/>
      <c r="AH128" s="4"/>
    </row>
    <row r="129" spans="32:34" ht="13" x14ac:dyDescent="0.15">
      <c r="AF129" s="5"/>
      <c r="AG129" s="4"/>
      <c r="AH129" s="4"/>
    </row>
    <row r="130" spans="32:34" ht="13" x14ac:dyDescent="0.15">
      <c r="AF130" s="5"/>
      <c r="AG130" s="4"/>
      <c r="AH130" s="4"/>
    </row>
    <row r="131" spans="32:34" ht="13" x14ac:dyDescent="0.15">
      <c r="AF131" s="5"/>
      <c r="AG131" s="4"/>
      <c r="AH131" s="4"/>
    </row>
    <row r="132" spans="32:34" ht="13" x14ac:dyDescent="0.15">
      <c r="AF132" s="5"/>
      <c r="AG132" s="4"/>
      <c r="AH132" s="4"/>
    </row>
    <row r="133" spans="32:34" ht="13" x14ac:dyDescent="0.15">
      <c r="AF133" s="5"/>
      <c r="AG133" s="4"/>
      <c r="AH133" s="4"/>
    </row>
    <row r="134" spans="32:34" ht="13" x14ac:dyDescent="0.15">
      <c r="AF134" s="5"/>
      <c r="AG134" s="4"/>
      <c r="AH134" s="4"/>
    </row>
    <row r="135" spans="32:34" ht="13" x14ac:dyDescent="0.15">
      <c r="AF135" s="5"/>
      <c r="AG135" s="4"/>
      <c r="AH135" s="4"/>
    </row>
    <row r="136" spans="32:34" ht="13" x14ac:dyDescent="0.15">
      <c r="AF136" s="5"/>
      <c r="AG136" s="4"/>
      <c r="AH136" s="4"/>
    </row>
    <row r="137" spans="32:34" ht="13" x14ac:dyDescent="0.15">
      <c r="AF137" s="5"/>
      <c r="AG137" s="4"/>
      <c r="AH137" s="4"/>
    </row>
    <row r="138" spans="32:34" ht="13" x14ac:dyDescent="0.15">
      <c r="AF138" s="5"/>
      <c r="AG138" s="4"/>
      <c r="AH138" s="4"/>
    </row>
    <row r="139" spans="32:34" ht="13" x14ac:dyDescent="0.15">
      <c r="AF139" s="5"/>
      <c r="AG139" s="4"/>
      <c r="AH139" s="4"/>
    </row>
    <row r="140" spans="32:34" ht="13" x14ac:dyDescent="0.15">
      <c r="AF140" s="5"/>
      <c r="AG140" s="4"/>
      <c r="AH140" s="4"/>
    </row>
    <row r="141" spans="32:34" ht="13" x14ac:dyDescent="0.15">
      <c r="AF141" s="5"/>
      <c r="AG141" s="4"/>
      <c r="AH141" s="4"/>
    </row>
    <row r="142" spans="32:34" ht="13" x14ac:dyDescent="0.15">
      <c r="AF142" s="5"/>
      <c r="AG142" s="4"/>
      <c r="AH142" s="4"/>
    </row>
    <row r="143" spans="32:34" ht="13" x14ac:dyDescent="0.15">
      <c r="AF143" s="5"/>
      <c r="AG143" s="4"/>
      <c r="AH143" s="4"/>
    </row>
    <row r="144" spans="32:34" ht="13" x14ac:dyDescent="0.15">
      <c r="AF144" s="5"/>
      <c r="AG144" s="4"/>
      <c r="AH144" s="4"/>
    </row>
    <row r="145" spans="32:34" ht="13" x14ac:dyDescent="0.15">
      <c r="AF145" s="5"/>
      <c r="AG145" s="4"/>
      <c r="AH145" s="4"/>
    </row>
    <row r="146" spans="32:34" ht="13" x14ac:dyDescent="0.15">
      <c r="AF146" s="5"/>
      <c r="AG146" s="4"/>
      <c r="AH146" s="4"/>
    </row>
    <row r="147" spans="32:34" ht="13" x14ac:dyDescent="0.15">
      <c r="AF147" s="5"/>
      <c r="AG147" s="4"/>
      <c r="AH147" s="4"/>
    </row>
    <row r="148" spans="32:34" ht="13" x14ac:dyDescent="0.15">
      <c r="AF148" s="5"/>
      <c r="AG148" s="4"/>
      <c r="AH148" s="4"/>
    </row>
    <row r="149" spans="32:34" ht="13" x14ac:dyDescent="0.15">
      <c r="AF149" s="5"/>
      <c r="AG149" s="4"/>
      <c r="AH149" s="4"/>
    </row>
    <row r="150" spans="32:34" ht="13" x14ac:dyDescent="0.15">
      <c r="AF150" s="5"/>
      <c r="AG150" s="4"/>
      <c r="AH150" s="4"/>
    </row>
    <row r="151" spans="32:34" ht="13" x14ac:dyDescent="0.15">
      <c r="AF151" s="5"/>
      <c r="AG151" s="4"/>
      <c r="AH151" s="4"/>
    </row>
    <row r="152" spans="32:34" ht="13" x14ac:dyDescent="0.15">
      <c r="AF152" s="5"/>
      <c r="AG152" s="4"/>
      <c r="AH152" s="4"/>
    </row>
    <row r="153" spans="32:34" ht="13" x14ac:dyDescent="0.15">
      <c r="AF153" s="5"/>
      <c r="AG153" s="4"/>
      <c r="AH153" s="4"/>
    </row>
    <row r="154" spans="32:34" ht="13" x14ac:dyDescent="0.15">
      <c r="AF154" s="5"/>
      <c r="AG154" s="4"/>
      <c r="AH154" s="4"/>
    </row>
    <row r="155" spans="32:34" ht="13" x14ac:dyDescent="0.15">
      <c r="AF155" s="5"/>
      <c r="AG155" s="4"/>
      <c r="AH155" s="4"/>
    </row>
    <row r="156" spans="32:34" ht="13" x14ac:dyDescent="0.15">
      <c r="AF156" s="5"/>
      <c r="AG156" s="4"/>
      <c r="AH156" s="4"/>
    </row>
    <row r="157" spans="32:34" ht="13" x14ac:dyDescent="0.15">
      <c r="AF157" s="5"/>
      <c r="AG157" s="4"/>
      <c r="AH157" s="4"/>
    </row>
    <row r="158" spans="32:34" ht="13" x14ac:dyDescent="0.15">
      <c r="AF158" s="5"/>
      <c r="AG158" s="4"/>
      <c r="AH158" s="4"/>
    </row>
    <row r="159" spans="32:34" ht="13" x14ac:dyDescent="0.15">
      <c r="AF159" s="5"/>
      <c r="AG159" s="4"/>
      <c r="AH159" s="4"/>
    </row>
    <row r="160" spans="32:34" ht="13" x14ac:dyDescent="0.15">
      <c r="AF160" s="5"/>
      <c r="AG160" s="4"/>
      <c r="AH160" s="4"/>
    </row>
    <row r="161" spans="32:34" ht="13" x14ac:dyDescent="0.15">
      <c r="AF161" s="5"/>
      <c r="AG161" s="4"/>
      <c r="AH161" s="4"/>
    </row>
    <row r="162" spans="32:34" ht="13" x14ac:dyDescent="0.15">
      <c r="AF162" s="5"/>
      <c r="AG162" s="4"/>
      <c r="AH162" s="4"/>
    </row>
    <row r="163" spans="32:34" ht="13" x14ac:dyDescent="0.15">
      <c r="AF163" s="5"/>
      <c r="AG163" s="4"/>
      <c r="AH163" s="4"/>
    </row>
    <row r="164" spans="32:34" ht="13" x14ac:dyDescent="0.15">
      <c r="AF164" s="5"/>
      <c r="AG164" s="4"/>
      <c r="AH164" s="4"/>
    </row>
    <row r="165" spans="32:34" ht="13" x14ac:dyDescent="0.15">
      <c r="AF165" s="5"/>
      <c r="AG165" s="4"/>
      <c r="AH165" s="4"/>
    </row>
    <row r="166" spans="32:34" ht="13" x14ac:dyDescent="0.15">
      <c r="AF166" s="5"/>
      <c r="AG166" s="4"/>
      <c r="AH166" s="4"/>
    </row>
    <row r="167" spans="32:34" ht="13" x14ac:dyDescent="0.15">
      <c r="AF167" s="5"/>
      <c r="AG167" s="4"/>
      <c r="AH167" s="4"/>
    </row>
    <row r="168" spans="32:34" ht="13" x14ac:dyDescent="0.15">
      <c r="AF168" s="5"/>
      <c r="AG168" s="4"/>
      <c r="AH168" s="4"/>
    </row>
    <row r="169" spans="32:34" ht="13" x14ac:dyDescent="0.15">
      <c r="AF169" s="5"/>
      <c r="AG169" s="4"/>
      <c r="AH169" s="4"/>
    </row>
    <row r="170" spans="32:34" ht="13" x14ac:dyDescent="0.15">
      <c r="AF170" s="5"/>
      <c r="AG170" s="4"/>
      <c r="AH170" s="4"/>
    </row>
    <row r="171" spans="32:34" ht="13" x14ac:dyDescent="0.15">
      <c r="AF171" s="5"/>
      <c r="AG171" s="4"/>
      <c r="AH171" s="4"/>
    </row>
    <row r="172" spans="32:34" ht="13" x14ac:dyDescent="0.15">
      <c r="AF172" s="5"/>
      <c r="AG172" s="4"/>
      <c r="AH172" s="4"/>
    </row>
    <row r="173" spans="32:34" ht="13" x14ac:dyDescent="0.15">
      <c r="AF173" s="5"/>
      <c r="AG173" s="4"/>
      <c r="AH173" s="4"/>
    </row>
    <row r="174" spans="32:34" ht="13" x14ac:dyDescent="0.15">
      <c r="AF174" s="5"/>
      <c r="AG174" s="4"/>
      <c r="AH174" s="4"/>
    </row>
    <row r="175" spans="32:34" ht="13" x14ac:dyDescent="0.15">
      <c r="AF175" s="5"/>
      <c r="AG175" s="4"/>
      <c r="AH175" s="4"/>
    </row>
    <row r="176" spans="32:34" ht="13" x14ac:dyDescent="0.15">
      <c r="AF176" s="5"/>
      <c r="AG176" s="4"/>
      <c r="AH176" s="4"/>
    </row>
    <row r="177" spans="32:34" ht="13" x14ac:dyDescent="0.15">
      <c r="AF177" s="5"/>
      <c r="AG177" s="4"/>
      <c r="AH177" s="4"/>
    </row>
    <row r="178" spans="32:34" ht="13" x14ac:dyDescent="0.15">
      <c r="AF178" s="5"/>
      <c r="AG178" s="4"/>
      <c r="AH178" s="4"/>
    </row>
    <row r="179" spans="32:34" ht="13" x14ac:dyDescent="0.15">
      <c r="AF179" s="5"/>
      <c r="AG179" s="4"/>
      <c r="AH179" s="4"/>
    </row>
    <row r="180" spans="32:34" ht="13" x14ac:dyDescent="0.15">
      <c r="AF180" s="5"/>
      <c r="AH180" s="4"/>
    </row>
    <row r="181" spans="32:34" ht="13" x14ac:dyDescent="0.15">
      <c r="AF181" s="5"/>
      <c r="AH181" s="4"/>
    </row>
    <row r="182" spans="32:34" ht="13" x14ac:dyDescent="0.15">
      <c r="AF182" s="5"/>
      <c r="AH182" s="4"/>
    </row>
    <row r="183" spans="32:34" ht="13" x14ac:dyDescent="0.15">
      <c r="AF183" s="5"/>
      <c r="AH183" s="4"/>
    </row>
    <row r="184" spans="32:34" ht="13" x14ac:dyDescent="0.15">
      <c r="AF184" s="5"/>
      <c r="AH184" s="4"/>
    </row>
    <row r="185" spans="32:34" ht="13" x14ac:dyDescent="0.15">
      <c r="AF185" s="5"/>
      <c r="AH185" s="4"/>
    </row>
    <row r="186" spans="32:34" ht="13" x14ac:dyDescent="0.15">
      <c r="AF186" s="5"/>
      <c r="AH186" s="4"/>
    </row>
    <row r="187" spans="32:34" ht="13" x14ac:dyDescent="0.15">
      <c r="AF187" s="5"/>
      <c r="AH187" s="4"/>
    </row>
    <row r="188" spans="32:34" ht="13" x14ac:dyDescent="0.15">
      <c r="AF188" s="5"/>
      <c r="AH188" s="4"/>
    </row>
    <row r="189" spans="32:34" ht="13" x14ac:dyDescent="0.15">
      <c r="AF189" s="5"/>
      <c r="AH189" s="4"/>
    </row>
    <row r="190" spans="32:34" ht="13" x14ac:dyDescent="0.15">
      <c r="AF190" s="5"/>
      <c r="AH190" s="4"/>
    </row>
    <row r="191" spans="32:34" ht="13" x14ac:dyDescent="0.15">
      <c r="AF191" s="5"/>
      <c r="AH191" s="4"/>
    </row>
    <row r="192" spans="32:34" ht="13" x14ac:dyDescent="0.15">
      <c r="AF192" s="5"/>
      <c r="AH192" s="4"/>
    </row>
    <row r="193" spans="32:34" ht="13" x14ac:dyDescent="0.15">
      <c r="AF193" s="5"/>
      <c r="AH193" s="4"/>
    </row>
    <row r="194" spans="32:34" ht="13" x14ac:dyDescent="0.15">
      <c r="AF194" s="5"/>
      <c r="AH194" s="4"/>
    </row>
    <row r="195" spans="32:34" ht="13" x14ac:dyDescent="0.15">
      <c r="AF195" s="5"/>
      <c r="AH195" s="4"/>
    </row>
    <row r="196" spans="32:34" ht="13" x14ac:dyDescent="0.15">
      <c r="AF196" s="5"/>
      <c r="AH196" s="4"/>
    </row>
    <row r="197" spans="32:34" ht="13" x14ac:dyDescent="0.15">
      <c r="AF197" s="5"/>
      <c r="AH197" s="4"/>
    </row>
    <row r="198" spans="32:34" ht="13" x14ac:dyDescent="0.15">
      <c r="AF198" s="5"/>
      <c r="AH198" s="4"/>
    </row>
    <row r="199" spans="32:34" ht="13" x14ac:dyDescent="0.15">
      <c r="AF199" s="5"/>
      <c r="AH199" s="4"/>
    </row>
    <row r="200" spans="32:34" ht="13" x14ac:dyDescent="0.15">
      <c r="AF200" s="5"/>
      <c r="AH200" s="4"/>
    </row>
    <row r="201" spans="32:34" ht="13" x14ac:dyDescent="0.15">
      <c r="AF201" s="5"/>
      <c r="AH201" s="4"/>
    </row>
    <row r="202" spans="32:34" ht="13" x14ac:dyDescent="0.15">
      <c r="AF202" s="5"/>
      <c r="AH202" s="4"/>
    </row>
    <row r="203" spans="32:34" ht="13" x14ac:dyDescent="0.15">
      <c r="AF203" s="5"/>
      <c r="AH203" s="4"/>
    </row>
    <row r="204" spans="32:34" ht="13" x14ac:dyDescent="0.15">
      <c r="AF204" s="5"/>
      <c r="AH204" s="4"/>
    </row>
    <row r="205" spans="32:34" ht="13" x14ac:dyDescent="0.15">
      <c r="AF205" s="5"/>
      <c r="AH205" s="4"/>
    </row>
    <row r="206" spans="32:34" ht="13" x14ac:dyDescent="0.15">
      <c r="AF206" s="5"/>
      <c r="AH206" s="4"/>
    </row>
    <row r="207" spans="32:34" ht="13" x14ac:dyDescent="0.15">
      <c r="AF207" s="5"/>
      <c r="AH207" s="4"/>
    </row>
    <row r="208" spans="32:34" ht="13" x14ac:dyDescent="0.15">
      <c r="AF208" s="5"/>
      <c r="AH208" s="4"/>
    </row>
    <row r="209" spans="32:34" ht="13" x14ac:dyDescent="0.15">
      <c r="AF209" s="5"/>
      <c r="AH209" s="4"/>
    </row>
    <row r="210" spans="32:34" ht="13" x14ac:dyDescent="0.15">
      <c r="AF210" s="5"/>
      <c r="AH210" s="4"/>
    </row>
    <row r="211" spans="32:34" ht="13" x14ac:dyDescent="0.15">
      <c r="AF211" s="5"/>
      <c r="AH211" s="4"/>
    </row>
    <row r="212" spans="32:34" ht="13" x14ac:dyDescent="0.15">
      <c r="AF212" s="5"/>
      <c r="AH212" s="4"/>
    </row>
    <row r="213" spans="32:34" ht="13" x14ac:dyDescent="0.15">
      <c r="AF213" s="5"/>
      <c r="AH213" s="4"/>
    </row>
    <row r="214" spans="32:34" ht="13" x14ac:dyDescent="0.15">
      <c r="AF214" s="5"/>
      <c r="AH214" s="4"/>
    </row>
    <row r="215" spans="32:34" ht="13" x14ac:dyDescent="0.15">
      <c r="AF215" s="5"/>
      <c r="AH215" s="4"/>
    </row>
    <row r="216" spans="32:34" ht="13" x14ac:dyDescent="0.15">
      <c r="AF216" s="5"/>
      <c r="AH216" s="4"/>
    </row>
    <row r="217" spans="32:34" ht="13" x14ac:dyDescent="0.15">
      <c r="AF217" s="5"/>
      <c r="AH217" s="4"/>
    </row>
    <row r="218" spans="32:34" ht="13" x14ac:dyDescent="0.15">
      <c r="AF218" s="5"/>
      <c r="AH218" s="4"/>
    </row>
    <row r="219" spans="32:34" ht="13" x14ac:dyDescent="0.15">
      <c r="AF219" s="5"/>
      <c r="AH219" s="4"/>
    </row>
    <row r="220" spans="32:34" ht="13" x14ac:dyDescent="0.15">
      <c r="AF220" s="5"/>
      <c r="AH220" s="4"/>
    </row>
    <row r="221" spans="32:34" ht="13" x14ac:dyDescent="0.15">
      <c r="AF221" s="5"/>
      <c r="AH221" s="4"/>
    </row>
    <row r="222" spans="32:34" ht="13" x14ac:dyDescent="0.15">
      <c r="AF222" s="5"/>
      <c r="AH222" s="4"/>
    </row>
    <row r="223" spans="32:34" ht="13" x14ac:dyDescent="0.15">
      <c r="AF223" s="5"/>
      <c r="AH223" s="4"/>
    </row>
    <row r="224" spans="32:34" ht="13" x14ac:dyDescent="0.15">
      <c r="AF224" s="5"/>
      <c r="AH224" s="4"/>
    </row>
    <row r="225" spans="32:34" ht="13" x14ac:dyDescent="0.15">
      <c r="AF225" s="5"/>
      <c r="AH225" s="4"/>
    </row>
    <row r="226" spans="32:34" ht="13" x14ac:dyDescent="0.15">
      <c r="AF226" s="5"/>
      <c r="AH226" s="4"/>
    </row>
    <row r="227" spans="32:34" ht="13" x14ac:dyDescent="0.15">
      <c r="AF227" s="5"/>
      <c r="AH227" s="4"/>
    </row>
    <row r="228" spans="32:34" ht="13" x14ac:dyDescent="0.15">
      <c r="AF228" s="5"/>
      <c r="AH228" s="4"/>
    </row>
    <row r="229" spans="32:34" ht="13" x14ac:dyDescent="0.15">
      <c r="AF229" s="5"/>
      <c r="AH229" s="4"/>
    </row>
    <row r="230" spans="32:34" ht="13" x14ac:dyDescent="0.15">
      <c r="AF230" s="5"/>
      <c r="AH230" s="4"/>
    </row>
    <row r="231" spans="32:34" ht="13" x14ac:dyDescent="0.15">
      <c r="AF231" s="5"/>
      <c r="AH231" s="4"/>
    </row>
    <row r="232" spans="32:34" ht="13" x14ac:dyDescent="0.15">
      <c r="AF232" s="5"/>
      <c r="AH232" s="4"/>
    </row>
    <row r="233" spans="32:34" ht="13" x14ac:dyDescent="0.15">
      <c r="AF233" s="5"/>
      <c r="AH233" s="4"/>
    </row>
    <row r="234" spans="32:34" ht="13" x14ac:dyDescent="0.15">
      <c r="AF234" s="5"/>
      <c r="AH234" s="4"/>
    </row>
    <row r="235" spans="32:34" ht="13" x14ac:dyDescent="0.15">
      <c r="AF235" s="5"/>
      <c r="AH235" s="4"/>
    </row>
    <row r="236" spans="32:34" ht="13" x14ac:dyDescent="0.15">
      <c r="AF236" s="5"/>
      <c r="AH236" s="4"/>
    </row>
    <row r="237" spans="32:34" ht="13" x14ac:dyDescent="0.15">
      <c r="AF237" s="5"/>
      <c r="AH237" s="4"/>
    </row>
    <row r="238" spans="32:34" ht="13" x14ac:dyDescent="0.15">
      <c r="AF238" s="5"/>
      <c r="AH238" s="4"/>
    </row>
    <row r="239" spans="32:34" ht="13" x14ac:dyDescent="0.15">
      <c r="AF239" s="5"/>
      <c r="AH239" s="4"/>
    </row>
    <row r="240" spans="32:34" ht="13" x14ac:dyDescent="0.15">
      <c r="AF240" s="5"/>
      <c r="AH240" s="4"/>
    </row>
    <row r="241" spans="32:34" ht="13" x14ac:dyDescent="0.15">
      <c r="AF241" s="5"/>
      <c r="AH241" s="4"/>
    </row>
    <row r="242" spans="32:34" ht="13" x14ac:dyDescent="0.15">
      <c r="AF242" s="5"/>
      <c r="AH242" s="4"/>
    </row>
    <row r="243" spans="32:34" ht="13" x14ac:dyDescent="0.15">
      <c r="AF243" s="5"/>
      <c r="AH243" s="4"/>
    </row>
    <row r="244" spans="32:34" ht="13" x14ac:dyDescent="0.15">
      <c r="AF244" s="5"/>
      <c r="AH244" s="4"/>
    </row>
    <row r="245" spans="32:34" ht="13" x14ac:dyDescent="0.15">
      <c r="AF245" s="5"/>
      <c r="AH245" s="4"/>
    </row>
    <row r="246" spans="32:34" ht="13" x14ac:dyDescent="0.15">
      <c r="AF246" s="5"/>
      <c r="AH246" s="4"/>
    </row>
    <row r="247" spans="32:34" ht="13" x14ac:dyDescent="0.15">
      <c r="AF247" s="5"/>
      <c r="AH247" s="4"/>
    </row>
    <row r="248" spans="32:34" ht="13" x14ac:dyDescent="0.15">
      <c r="AF248" s="5"/>
      <c r="AH248" s="4"/>
    </row>
    <row r="249" spans="32:34" ht="13" x14ac:dyDescent="0.15">
      <c r="AF249" s="5"/>
      <c r="AH249" s="4"/>
    </row>
    <row r="250" spans="32:34" ht="13" x14ac:dyDescent="0.15">
      <c r="AF250" s="5"/>
      <c r="AH250" s="4"/>
    </row>
    <row r="251" spans="32:34" ht="13" x14ac:dyDescent="0.15">
      <c r="AF251" s="5"/>
      <c r="AH251" s="4"/>
    </row>
    <row r="252" spans="32:34" ht="13" x14ac:dyDescent="0.15">
      <c r="AF252" s="5"/>
      <c r="AH252" s="4"/>
    </row>
    <row r="253" spans="32:34" ht="13" x14ac:dyDescent="0.15">
      <c r="AF253" s="5"/>
      <c r="AH253" s="4"/>
    </row>
    <row r="254" spans="32:34" ht="13" x14ac:dyDescent="0.15">
      <c r="AF254" s="5"/>
      <c r="AH254" s="4"/>
    </row>
    <row r="255" spans="32:34" ht="13" x14ac:dyDescent="0.15">
      <c r="AF255" s="5"/>
      <c r="AH255" s="4"/>
    </row>
    <row r="256" spans="32:34" ht="13" x14ac:dyDescent="0.15">
      <c r="AF256" s="5"/>
      <c r="AH256" s="4"/>
    </row>
    <row r="257" spans="32:34" ht="13" x14ac:dyDescent="0.15">
      <c r="AF257" s="5"/>
      <c r="AH257" s="4"/>
    </row>
    <row r="258" spans="32:34" ht="13" x14ac:dyDescent="0.15">
      <c r="AF258" s="5"/>
      <c r="AH258" s="4"/>
    </row>
    <row r="259" spans="32:34" ht="13" x14ac:dyDescent="0.15">
      <c r="AF259" s="5"/>
      <c r="AH259" s="4"/>
    </row>
    <row r="260" spans="32:34" ht="13" x14ac:dyDescent="0.15">
      <c r="AF260" s="5"/>
      <c r="AH260" s="4"/>
    </row>
    <row r="261" spans="32:34" ht="13" x14ac:dyDescent="0.15">
      <c r="AF261" s="5"/>
      <c r="AH261" s="4"/>
    </row>
    <row r="262" spans="32:34" ht="13" x14ac:dyDescent="0.15">
      <c r="AF262" s="5"/>
      <c r="AH262" s="4"/>
    </row>
    <row r="263" spans="32:34" ht="13" x14ac:dyDescent="0.15">
      <c r="AF263" s="5"/>
      <c r="AH263" s="4"/>
    </row>
    <row r="264" spans="32:34" ht="13" x14ac:dyDescent="0.15">
      <c r="AF264" s="5"/>
      <c r="AH264" s="4"/>
    </row>
    <row r="265" spans="32:34" ht="13" x14ac:dyDescent="0.15">
      <c r="AF265" s="5"/>
      <c r="AH265" s="4"/>
    </row>
    <row r="266" spans="32:34" ht="13" x14ac:dyDescent="0.15">
      <c r="AF266" s="5"/>
      <c r="AH266" s="4"/>
    </row>
    <row r="267" spans="32:34" ht="13" x14ac:dyDescent="0.15">
      <c r="AF267" s="5"/>
      <c r="AH267" s="4"/>
    </row>
    <row r="268" spans="32:34" ht="13" x14ac:dyDescent="0.15">
      <c r="AF268" s="5"/>
      <c r="AH268" s="4"/>
    </row>
    <row r="269" spans="32:34" ht="13" x14ac:dyDescent="0.15">
      <c r="AF269" s="5"/>
      <c r="AH269" s="4"/>
    </row>
    <row r="270" spans="32:34" ht="13" x14ac:dyDescent="0.15">
      <c r="AF270" s="5"/>
      <c r="AH270" s="4"/>
    </row>
    <row r="271" spans="32:34" ht="13" x14ac:dyDescent="0.15">
      <c r="AF271" s="5"/>
      <c r="AH271" s="4"/>
    </row>
    <row r="272" spans="32:34" ht="13" x14ac:dyDescent="0.15">
      <c r="AF272" s="5"/>
      <c r="AH272" s="4"/>
    </row>
    <row r="273" spans="32:34" ht="13" x14ac:dyDescent="0.15">
      <c r="AF273" s="5"/>
      <c r="AH273" s="4"/>
    </row>
    <row r="274" spans="32:34" ht="13" x14ac:dyDescent="0.15">
      <c r="AF274" s="5"/>
      <c r="AH274" s="4"/>
    </row>
    <row r="275" spans="32:34" ht="13" x14ac:dyDescent="0.15">
      <c r="AF275" s="5"/>
      <c r="AH275" s="4"/>
    </row>
    <row r="276" spans="32:34" ht="13" x14ac:dyDescent="0.15">
      <c r="AF276" s="5"/>
      <c r="AH276" s="4"/>
    </row>
    <row r="277" spans="32:34" ht="13" x14ac:dyDescent="0.15">
      <c r="AF277" s="5"/>
      <c r="AH277" s="4"/>
    </row>
    <row r="278" spans="32:34" ht="13" x14ac:dyDescent="0.15">
      <c r="AF278" s="5"/>
      <c r="AH278" s="4"/>
    </row>
    <row r="279" spans="32:34" ht="13" x14ac:dyDescent="0.15">
      <c r="AF279" s="5"/>
      <c r="AH279" s="4"/>
    </row>
    <row r="280" spans="32:34" ht="13" x14ac:dyDescent="0.15">
      <c r="AF280" s="5"/>
      <c r="AH280" s="4"/>
    </row>
    <row r="281" spans="32:34" ht="13" x14ac:dyDescent="0.15">
      <c r="AF281" s="5"/>
      <c r="AH281" s="4"/>
    </row>
    <row r="282" spans="32:34" ht="13" x14ac:dyDescent="0.15">
      <c r="AF282" s="5"/>
      <c r="AH282" s="4"/>
    </row>
    <row r="283" spans="32:34" ht="13" x14ac:dyDescent="0.15">
      <c r="AF283" s="5"/>
      <c r="AH283" s="4"/>
    </row>
    <row r="284" spans="32:34" ht="13" x14ac:dyDescent="0.15">
      <c r="AF284" s="5"/>
      <c r="AH284" s="4"/>
    </row>
    <row r="285" spans="32:34" ht="13" x14ac:dyDescent="0.15">
      <c r="AF285" s="5"/>
      <c r="AH285" s="4"/>
    </row>
    <row r="286" spans="32:34" ht="13" x14ac:dyDescent="0.15">
      <c r="AF286" s="5"/>
      <c r="AH286" s="4"/>
    </row>
    <row r="287" spans="32:34" ht="13" x14ac:dyDescent="0.15">
      <c r="AF287" s="5"/>
      <c r="AH287" s="4"/>
    </row>
    <row r="288" spans="32:34" ht="13" x14ac:dyDescent="0.15">
      <c r="AF288" s="5"/>
      <c r="AH288" s="4"/>
    </row>
    <row r="289" spans="32:34" ht="13" x14ac:dyDescent="0.15">
      <c r="AF289" s="5"/>
      <c r="AH289" s="4"/>
    </row>
    <row r="290" spans="32:34" ht="13" x14ac:dyDescent="0.15">
      <c r="AF290" s="5"/>
      <c r="AH290" s="4"/>
    </row>
    <row r="291" spans="32:34" ht="13" x14ac:dyDescent="0.15">
      <c r="AF291" s="5"/>
      <c r="AH291" s="4"/>
    </row>
    <row r="292" spans="32:34" ht="13" x14ac:dyDescent="0.15">
      <c r="AF292" s="5"/>
      <c r="AH292" s="4"/>
    </row>
    <row r="293" spans="32:34" ht="13" x14ac:dyDescent="0.15">
      <c r="AF293" s="5"/>
      <c r="AH293" s="4"/>
    </row>
    <row r="294" spans="32:34" ht="13" x14ac:dyDescent="0.15">
      <c r="AF294" s="5"/>
      <c r="AH294" s="4"/>
    </row>
    <row r="295" spans="32:34" ht="13" x14ac:dyDescent="0.15">
      <c r="AF295" s="5"/>
      <c r="AH295" s="4"/>
    </row>
    <row r="296" spans="32:34" ht="13" x14ac:dyDescent="0.15">
      <c r="AF296" s="5"/>
      <c r="AH296" s="4"/>
    </row>
    <row r="297" spans="32:34" ht="13" x14ac:dyDescent="0.15">
      <c r="AF297" s="5"/>
      <c r="AH297" s="4"/>
    </row>
    <row r="298" spans="32:34" ht="13" x14ac:dyDescent="0.15">
      <c r="AF298" s="5"/>
      <c r="AH298" s="4"/>
    </row>
    <row r="299" spans="32:34" ht="13" x14ac:dyDescent="0.15">
      <c r="AF299" s="5"/>
      <c r="AH299" s="4"/>
    </row>
    <row r="300" spans="32:34" ht="13" x14ac:dyDescent="0.15">
      <c r="AF300" s="5"/>
      <c r="AH300" s="4"/>
    </row>
    <row r="301" spans="32:34" ht="13" x14ac:dyDescent="0.15">
      <c r="AF301" s="5"/>
      <c r="AH301" s="4"/>
    </row>
    <row r="302" spans="32:34" ht="13" x14ac:dyDescent="0.15">
      <c r="AF302" s="5"/>
      <c r="AH302" s="4"/>
    </row>
    <row r="303" spans="32:34" ht="13" x14ac:dyDescent="0.15">
      <c r="AF303" s="5"/>
      <c r="AH303" s="4"/>
    </row>
    <row r="304" spans="32:34" ht="13" x14ac:dyDescent="0.15">
      <c r="AF304" s="5"/>
      <c r="AH304" s="4"/>
    </row>
    <row r="305" spans="32:34" ht="13" x14ac:dyDescent="0.15">
      <c r="AF305" s="5"/>
      <c r="AH305" s="4"/>
    </row>
    <row r="306" spans="32:34" ht="13" x14ac:dyDescent="0.15">
      <c r="AF306" s="5"/>
      <c r="AH306" s="4"/>
    </row>
    <row r="307" spans="32:34" ht="13" x14ac:dyDescent="0.15">
      <c r="AF307" s="5"/>
      <c r="AH307" s="4"/>
    </row>
    <row r="308" spans="32:34" ht="13" x14ac:dyDescent="0.15">
      <c r="AF308" s="5"/>
      <c r="AH308" s="4"/>
    </row>
    <row r="309" spans="32:34" ht="13" x14ac:dyDescent="0.15">
      <c r="AF309" s="5"/>
      <c r="AH309" s="4"/>
    </row>
    <row r="310" spans="32:34" ht="13" x14ac:dyDescent="0.15">
      <c r="AF310" s="5"/>
      <c r="AH310" s="4"/>
    </row>
    <row r="311" spans="32:34" ht="13" x14ac:dyDescent="0.15">
      <c r="AF311" s="5"/>
      <c r="AH311" s="4"/>
    </row>
    <row r="312" spans="32:34" ht="13" x14ac:dyDescent="0.15">
      <c r="AF312" s="5"/>
      <c r="AH312" s="4"/>
    </row>
    <row r="313" spans="32:34" ht="13" x14ac:dyDescent="0.15">
      <c r="AF313" s="5"/>
      <c r="AH313" s="4"/>
    </row>
    <row r="314" spans="32:34" ht="13" x14ac:dyDescent="0.15">
      <c r="AF314" s="5"/>
      <c r="AH314" s="4"/>
    </row>
    <row r="315" spans="32:34" ht="13" x14ac:dyDescent="0.15">
      <c r="AF315" s="5"/>
      <c r="AH315" s="4"/>
    </row>
    <row r="316" spans="32:34" ht="13" x14ac:dyDescent="0.15">
      <c r="AF316" s="5"/>
      <c r="AH316" s="4"/>
    </row>
    <row r="317" spans="32:34" ht="13" x14ac:dyDescent="0.15">
      <c r="AF317" s="5"/>
      <c r="AH317" s="4"/>
    </row>
    <row r="318" spans="32:34" ht="13" x14ac:dyDescent="0.15">
      <c r="AF318" s="5"/>
      <c r="AH318" s="4"/>
    </row>
    <row r="319" spans="32:34" ht="13" x14ac:dyDescent="0.15">
      <c r="AF319" s="5"/>
      <c r="AH319" s="4"/>
    </row>
    <row r="320" spans="32:34" ht="13" x14ac:dyDescent="0.15">
      <c r="AF320" s="5"/>
      <c r="AH320" s="4"/>
    </row>
    <row r="321" spans="32:34" ht="13" x14ac:dyDescent="0.15">
      <c r="AF321" s="5"/>
      <c r="AH321" s="4"/>
    </row>
    <row r="322" spans="32:34" ht="13" x14ac:dyDescent="0.15">
      <c r="AF322" s="5"/>
      <c r="AH322" s="4"/>
    </row>
    <row r="323" spans="32:34" ht="13" x14ac:dyDescent="0.15">
      <c r="AF323" s="5"/>
      <c r="AH323" s="4"/>
    </row>
    <row r="324" spans="32:34" ht="13" x14ac:dyDescent="0.15">
      <c r="AF324" s="5"/>
      <c r="AH324" s="4"/>
    </row>
    <row r="325" spans="32:34" ht="13" x14ac:dyDescent="0.15">
      <c r="AF325" s="5"/>
      <c r="AH325" s="4"/>
    </row>
    <row r="326" spans="32:34" ht="13" x14ac:dyDescent="0.15">
      <c r="AF326" s="5"/>
      <c r="AH326" s="4"/>
    </row>
    <row r="327" spans="32:34" ht="13" x14ac:dyDescent="0.15">
      <c r="AF327" s="5"/>
      <c r="AH327" s="4"/>
    </row>
    <row r="328" spans="32:34" ht="13" x14ac:dyDescent="0.15">
      <c r="AF328" s="5"/>
      <c r="AH328" s="4"/>
    </row>
    <row r="329" spans="32:34" ht="13" x14ac:dyDescent="0.15">
      <c r="AF329" s="5"/>
      <c r="AH329" s="4"/>
    </row>
    <row r="330" spans="32:34" ht="13" x14ac:dyDescent="0.15">
      <c r="AF330" s="5"/>
      <c r="AH330" s="4"/>
    </row>
    <row r="331" spans="32:34" ht="13" x14ac:dyDescent="0.15">
      <c r="AF331" s="5"/>
      <c r="AH331" s="4"/>
    </row>
    <row r="332" spans="32:34" ht="13" x14ac:dyDescent="0.15">
      <c r="AF332" s="5"/>
      <c r="AH332" s="4"/>
    </row>
    <row r="333" spans="32:34" ht="13" x14ac:dyDescent="0.15">
      <c r="AF333" s="5"/>
      <c r="AH333" s="4"/>
    </row>
    <row r="334" spans="32:34" ht="13" x14ac:dyDescent="0.15">
      <c r="AF334" s="5"/>
      <c r="AH334" s="4"/>
    </row>
    <row r="335" spans="32:34" ht="13" x14ac:dyDescent="0.15">
      <c r="AF335" s="5"/>
      <c r="AH335" s="4"/>
    </row>
    <row r="336" spans="32:34" ht="13" x14ac:dyDescent="0.15">
      <c r="AF336" s="5"/>
      <c r="AH336" s="4"/>
    </row>
    <row r="337" spans="32:34" ht="13" x14ac:dyDescent="0.15">
      <c r="AF337" s="5"/>
      <c r="AH337" s="4"/>
    </row>
    <row r="338" spans="32:34" ht="13" x14ac:dyDescent="0.15">
      <c r="AF338" s="5"/>
      <c r="AH338" s="4"/>
    </row>
    <row r="339" spans="32:34" ht="13" x14ac:dyDescent="0.15">
      <c r="AF339" s="5"/>
      <c r="AH339" s="4"/>
    </row>
    <row r="340" spans="32:34" ht="13" x14ac:dyDescent="0.15">
      <c r="AF340" s="5"/>
      <c r="AH340" s="4"/>
    </row>
    <row r="341" spans="32:34" ht="13" x14ac:dyDescent="0.15">
      <c r="AF341" s="5"/>
      <c r="AH341" s="4"/>
    </row>
    <row r="342" spans="32:34" ht="13" x14ac:dyDescent="0.15">
      <c r="AF342" s="5"/>
      <c r="AH342" s="4"/>
    </row>
    <row r="343" spans="32:34" ht="13" x14ac:dyDescent="0.15">
      <c r="AF343" s="5"/>
      <c r="AH343" s="4"/>
    </row>
    <row r="344" spans="32:34" ht="13" x14ac:dyDescent="0.15">
      <c r="AF344" s="5"/>
      <c r="AH344" s="4"/>
    </row>
    <row r="345" spans="32:34" ht="13" x14ac:dyDescent="0.15">
      <c r="AF345" s="5"/>
      <c r="AH345" s="4"/>
    </row>
    <row r="346" spans="32:34" ht="13" x14ac:dyDescent="0.15">
      <c r="AF346" s="5"/>
      <c r="AH346" s="4"/>
    </row>
    <row r="347" spans="32:34" ht="13" x14ac:dyDescent="0.15">
      <c r="AF347" s="5"/>
      <c r="AH347" s="4"/>
    </row>
    <row r="348" spans="32:34" ht="13" x14ac:dyDescent="0.15">
      <c r="AF348" s="5"/>
      <c r="AH348" s="4"/>
    </row>
    <row r="349" spans="32:34" ht="13" x14ac:dyDescent="0.15">
      <c r="AF349" s="5"/>
      <c r="AH349" s="4"/>
    </row>
    <row r="350" spans="32:34" ht="13" x14ac:dyDescent="0.15">
      <c r="AF350" s="5"/>
      <c r="AH350" s="4"/>
    </row>
    <row r="351" spans="32:34" ht="13" x14ac:dyDescent="0.15">
      <c r="AF351" s="5"/>
      <c r="AH351" s="4"/>
    </row>
    <row r="352" spans="32:34" ht="13" x14ac:dyDescent="0.15">
      <c r="AF352" s="5"/>
      <c r="AH352" s="4"/>
    </row>
    <row r="353" spans="32:34" ht="13" x14ac:dyDescent="0.15">
      <c r="AF353" s="5"/>
      <c r="AH353" s="4"/>
    </row>
    <row r="354" spans="32:34" ht="13" x14ac:dyDescent="0.15">
      <c r="AF354" s="5"/>
      <c r="AH354" s="4"/>
    </row>
    <row r="355" spans="32:34" ht="13" x14ac:dyDescent="0.15">
      <c r="AF355" s="5"/>
      <c r="AH355" s="4"/>
    </row>
    <row r="356" spans="32:34" ht="13" x14ac:dyDescent="0.15">
      <c r="AF356" s="5"/>
      <c r="AH356" s="4"/>
    </row>
    <row r="357" spans="32:34" ht="13" x14ac:dyDescent="0.15">
      <c r="AF357" s="5"/>
      <c r="AH357" s="4"/>
    </row>
    <row r="358" spans="32:34" ht="13" x14ac:dyDescent="0.15">
      <c r="AF358" s="5"/>
      <c r="AH358" s="4"/>
    </row>
    <row r="359" spans="32:34" ht="13" x14ac:dyDescent="0.15">
      <c r="AF359" s="5"/>
      <c r="AH359" s="4"/>
    </row>
    <row r="360" spans="32:34" ht="13" x14ac:dyDescent="0.15">
      <c r="AF360" s="5"/>
      <c r="AH360" s="4"/>
    </row>
    <row r="361" spans="32:34" ht="13" x14ac:dyDescent="0.15">
      <c r="AF361" s="5"/>
      <c r="AH361" s="4"/>
    </row>
    <row r="362" spans="32:34" ht="13" x14ac:dyDescent="0.15">
      <c r="AF362" s="5"/>
      <c r="AH362" s="4"/>
    </row>
    <row r="363" spans="32:34" ht="13" x14ac:dyDescent="0.15">
      <c r="AF363" s="5"/>
      <c r="AH363" s="4"/>
    </row>
    <row r="364" spans="32:34" ht="13" x14ac:dyDescent="0.15">
      <c r="AF364" s="5"/>
      <c r="AH364" s="4"/>
    </row>
    <row r="365" spans="32:34" ht="13" x14ac:dyDescent="0.15">
      <c r="AF365" s="5"/>
      <c r="AH365" s="4"/>
    </row>
    <row r="366" spans="32:34" ht="13" x14ac:dyDescent="0.15">
      <c r="AF366" s="5"/>
      <c r="AH366" s="4"/>
    </row>
    <row r="367" spans="32:34" ht="13" x14ac:dyDescent="0.15">
      <c r="AF367" s="5"/>
      <c r="AH367" s="4"/>
    </row>
    <row r="368" spans="32:34" ht="13" x14ac:dyDescent="0.15">
      <c r="AF368" s="5"/>
      <c r="AH368" s="4"/>
    </row>
    <row r="369" spans="32:34" ht="13" x14ac:dyDescent="0.15">
      <c r="AF369" s="5"/>
      <c r="AH369" s="4"/>
    </row>
    <row r="370" spans="32:34" ht="13" x14ac:dyDescent="0.15">
      <c r="AF370" s="5"/>
      <c r="AH370" s="4"/>
    </row>
    <row r="371" spans="32:34" ht="13" x14ac:dyDescent="0.15">
      <c r="AF371" s="5"/>
      <c r="AH371" s="4"/>
    </row>
    <row r="372" spans="32:34" ht="13" x14ac:dyDescent="0.15">
      <c r="AF372" s="5"/>
      <c r="AH372" s="4"/>
    </row>
    <row r="373" spans="32:34" ht="13" x14ac:dyDescent="0.15">
      <c r="AF373" s="5"/>
      <c r="AH373" s="4"/>
    </row>
    <row r="374" spans="32:34" ht="13" x14ac:dyDescent="0.15">
      <c r="AF374" s="5"/>
      <c r="AH374" s="4"/>
    </row>
    <row r="375" spans="32:34" ht="13" x14ac:dyDescent="0.15">
      <c r="AF375" s="5"/>
      <c r="AH375" s="4"/>
    </row>
    <row r="376" spans="32:34" ht="13" x14ac:dyDescent="0.15">
      <c r="AF376" s="5"/>
      <c r="AH376" s="4"/>
    </row>
    <row r="377" spans="32:34" ht="13" x14ac:dyDescent="0.15">
      <c r="AF377" s="5"/>
      <c r="AH377" s="4"/>
    </row>
    <row r="378" spans="32:34" ht="13" x14ac:dyDescent="0.15">
      <c r="AF378" s="5"/>
      <c r="AH378" s="4"/>
    </row>
    <row r="379" spans="32:34" ht="13" x14ac:dyDescent="0.15">
      <c r="AF379" s="5"/>
      <c r="AH379" s="4"/>
    </row>
    <row r="380" spans="32:34" ht="13" x14ac:dyDescent="0.15">
      <c r="AF380" s="5"/>
      <c r="AH380" s="4"/>
    </row>
    <row r="381" spans="32:34" ht="13" x14ac:dyDescent="0.15">
      <c r="AF381" s="5"/>
      <c r="AH381" s="4"/>
    </row>
    <row r="382" spans="32:34" ht="13" x14ac:dyDescent="0.15">
      <c r="AF382" s="5"/>
      <c r="AH382" s="4"/>
    </row>
    <row r="383" spans="32:34" ht="13" x14ac:dyDescent="0.15">
      <c r="AF383" s="5"/>
      <c r="AH383" s="4"/>
    </row>
    <row r="384" spans="32:34" ht="13" x14ac:dyDescent="0.15">
      <c r="AF384" s="5"/>
      <c r="AH384" s="4"/>
    </row>
    <row r="385" spans="32:34" ht="13" x14ac:dyDescent="0.15">
      <c r="AF385" s="5"/>
      <c r="AH385" s="4"/>
    </row>
    <row r="386" spans="32:34" ht="13" x14ac:dyDescent="0.15">
      <c r="AF386" s="5"/>
      <c r="AH386" s="4"/>
    </row>
    <row r="387" spans="32:34" ht="13" x14ac:dyDescent="0.15">
      <c r="AF387" s="5"/>
      <c r="AH387" s="4"/>
    </row>
    <row r="388" spans="32:34" ht="13" x14ac:dyDescent="0.15">
      <c r="AF388" s="5"/>
      <c r="AH388" s="4"/>
    </row>
    <row r="389" spans="32:34" ht="13" x14ac:dyDescent="0.15">
      <c r="AF389" s="5"/>
      <c r="AH389" s="4"/>
    </row>
    <row r="390" spans="32:34" ht="13" x14ac:dyDescent="0.15">
      <c r="AF390" s="5"/>
      <c r="AH390" s="4"/>
    </row>
    <row r="391" spans="32:34" ht="13" x14ac:dyDescent="0.15">
      <c r="AF391" s="5"/>
      <c r="AH391" s="4"/>
    </row>
    <row r="392" spans="32:34" ht="13" x14ac:dyDescent="0.15">
      <c r="AF392" s="5"/>
      <c r="AH392" s="4"/>
    </row>
    <row r="393" spans="32:34" ht="13" x14ac:dyDescent="0.15">
      <c r="AF393" s="5"/>
      <c r="AH393" s="4"/>
    </row>
    <row r="394" spans="32:34" ht="13" x14ac:dyDescent="0.15">
      <c r="AF394" s="5"/>
      <c r="AH394" s="4"/>
    </row>
    <row r="395" spans="32:34" ht="13" x14ac:dyDescent="0.15">
      <c r="AF395" s="5"/>
      <c r="AH395" s="4"/>
    </row>
    <row r="396" spans="32:34" ht="13" x14ac:dyDescent="0.15">
      <c r="AF396" s="5"/>
      <c r="AH396" s="4"/>
    </row>
    <row r="397" spans="32:34" ht="13" x14ac:dyDescent="0.15">
      <c r="AF397" s="5"/>
      <c r="AH397" s="4"/>
    </row>
    <row r="398" spans="32:34" ht="13" x14ac:dyDescent="0.15">
      <c r="AF398" s="5"/>
      <c r="AH398" s="4"/>
    </row>
    <row r="399" spans="32:34" ht="13" x14ac:dyDescent="0.15">
      <c r="AF399" s="5"/>
      <c r="AH399" s="4"/>
    </row>
    <row r="400" spans="32:34" ht="13" x14ac:dyDescent="0.15">
      <c r="AF400" s="5"/>
      <c r="AH400" s="4"/>
    </row>
    <row r="401" spans="32:34" ht="13" x14ac:dyDescent="0.15">
      <c r="AF401" s="5"/>
      <c r="AH401" s="4"/>
    </row>
    <row r="402" spans="32:34" ht="13" x14ac:dyDescent="0.15">
      <c r="AF402" s="5"/>
      <c r="AH402" s="4"/>
    </row>
    <row r="403" spans="32:34" ht="13" x14ac:dyDescent="0.15">
      <c r="AF403" s="5"/>
      <c r="AH403" s="4"/>
    </row>
    <row r="404" spans="32:34" ht="13" x14ac:dyDescent="0.15">
      <c r="AF404" s="5"/>
      <c r="AH404" s="4"/>
    </row>
    <row r="405" spans="32:34" ht="13" x14ac:dyDescent="0.15">
      <c r="AF405" s="5"/>
      <c r="AH405" s="4"/>
    </row>
    <row r="406" spans="32:34" ht="13" x14ac:dyDescent="0.15">
      <c r="AF406" s="5"/>
      <c r="AH406" s="4"/>
    </row>
    <row r="407" spans="32:34" ht="13" x14ac:dyDescent="0.15">
      <c r="AF407" s="5"/>
      <c r="AH407" s="4"/>
    </row>
    <row r="408" spans="32:34" ht="13" x14ac:dyDescent="0.15">
      <c r="AF408" s="5"/>
      <c r="AH408" s="4"/>
    </row>
    <row r="409" spans="32:34" ht="13" x14ac:dyDescent="0.15">
      <c r="AF409" s="5"/>
      <c r="AH409" s="4"/>
    </row>
    <row r="410" spans="32:34" ht="13" x14ac:dyDescent="0.15">
      <c r="AF410" s="5"/>
      <c r="AH410" s="4"/>
    </row>
    <row r="411" spans="32:34" ht="13" x14ac:dyDescent="0.15">
      <c r="AF411" s="5"/>
      <c r="AH411" s="4"/>
    </row>
    <row r="412" spans="32:34" ht="13" x14ac:dyDescent="0.15">
      <c r="AF412" s="5"/>
      <c r="AH412" s="4"/>
    </row>
    <row r="413" spans="32:34" ht="13" x14ac:dyDescent="0.15">
      <c r="AF413" s="5"/>
      <c r="AH413" s="4"/>
    </row>
    <row r="414" spans="32:34" ht="13" x14ac:dyDescent="0.15">
      <c r="AF414" s="5"/>
      <c r="AH414" s="4"/>
    </row>
    <row r="415" spans="32:34" ht="13" x14ac:dyDescent="0.15">
      <c r="AF415" s="5"/>
      <c r="AH415" s="4"/>
    </row>
    <row r="416" spans="32:34" ht="13" x14ac:dyDescent="0.15">
      <c r="AF416" s="5"/>
      <c r="AH416" s="4"/>
    </row>
    <row r="417" spans="32:34" ht="13" x14ac:dyDescent="0.15">
      <c r="AF417" s="5"/>
      <c r="AH417" s="4"/>
    </row>
    <row r="418" spans="32:34" ht="13" x14ac:dyDescent="0.15">
      <c r="AF418" s="5"/>
      <c r="AH418" s="4"/>
    </row>
    <row r="419" spans="32:34" ht="13" x14ac:dyDescent="0.15">
      <c r="AF419" s="5"/>
      <c r="AH419" s="4"/>
    </row>
    <row r="420" spans="32:34" ht="13" x14ac:dyDescent="0.15">
      <c r="AF420" s="5"/>
      <c r="AH420" s="4"/>
    </row>
    <row r="421" spans="32:34" ht="13" x14ac:dyDescent="0.15">
      <c r="AF421" s="5"/>
      <c r="AH421" s="4"/>
    </row>
    <row r="422" spans="32:34" ht="13" x14ac:dyDescent="0.15">
      <c r="AF422" s="5"/>
      <c r="AH422" s="4"/>
    </row>
    <row r="423" spans="32:34" ht="13" x14ac:dyDescent="0.15">
      <c r="AF423" s="5"/>
      <c r="AH423" s="4"/>
    </row>
    <row r="424" spans="32:34" ht="13" x14ac:dyDescent="0.15">
      <c r="AF424" s="5"/>
      <c r="AH424" s="4"/>
    </row>
    <row r="425" spans="32:34" ht="13" x14ac:dyDescent="0.15">
      <c r="AF425" s="5"/>
      <c r="AH425" s="4"/>
    </row>
    <row r="426" spans="32:34" ht="13" x14ac:dyDescent="0.15">
      <c r="AF426" s="5"/>
      <c r="AH426" s="4"/>
    </row>
    <row r="427" spans="32:34" ht="13" x14ac:dyDescent="0.15">
      <c r="AF427" s="5"/>
      <c r="AH427" s="4"/>
    </row>
    <row r="428" spans="32:34" ht="13" x14ac:dyDescent="0.15">
      <c r="AF428" s="5"/>
      <c r="AH428" s="4"/>
    </row>
    <row r="429" spans="32:34" ht="13" x14ac:dyDescent="0.15">
      <c r="AF429" s="5"/>
      <c r="AH429" s="4"/>
    </row>
    <row r="430" spans="32:34" ht="13" x14ac:dyDescent="0.15">
      <c r="AF430" s="5"/>
      <c r="AH430" s="4"/>
    </row>
    <row r="431" spans="32:34" ht="13" x14ac:dyDescent="0.15">
      <c r="AF431" s="5"/>
      <c r="AH431" s="4"/>
    </row>
    <row r="432" spans="32:34" ht="13" x14ac:dyDescent="0.15">
      <c r="AF432" s="5"/>
      <c r="AH432" s="4"/>
    </row>
    <row r="433" spans="32:34" ht="13" x14ac:dyDescent="0.15">
      <c r="AF433" s="5"/>
      <c r="AH433" s="4"/>
    </row>
    <row r="434" spans="32:34" ht="13" x14ac:dyDescent="0.15">
      <c r="AF434" s="5"/>
      <c r="AH434" s="4"/>
    </row>
    <row r="435" spans="32:34" ht="13" x14ac:dyDescent="0.15">
      <c r="AF435" s="5"/>
      <c r="AH435" s="4"/>
    </row>
    <row r="436" spans="32:34" ht="13" x14ac:dyDescent="0.15">
      <c r="AF436" s="5"/>
      <c r="AH436" s="4"/>
    </row>
    <row r="437" spans="32:34" ht="13" x14ac:dyDescent="0.15">
      <c r="AF437" s="5"/>
      <c r="AH437" s="4"/>
    </row>
    <row r="438" spans="32:34" ht="13" x14ac:dyDescent="0.15">
      <c r="AF438" s="5"/>
      <c r="AH438" s="4"/>
    </row>
    <row r="439" spans="32:34" ht="13" x14ac:dyDescent="0.15">
      <c r="AF439" s="5"/>
      <c r="AH439" s="4"/>
    </row>
    <row r="440" spans="32:34" ht="13" x14ac:dyDescent="0.15">
      <c r="AF440" s="5"/>
      <c r="AH440" s="4"/>
    </row>
    <row r="441" spans="32:34" ht="13" x14ac:dyDescent="0.15">
      <c r="AF441" s="5"/>
      <c r="AH441" s="4"/>
    </row>
    <row r="442" spans="32:34" ht="13" x14ac:dyDescent="0.15">
      <c r="AF442" s="5"/>
      <c r="AH442" s="4"/>
    </row>
    <row r="443" spans="32:34" ht="13" x14ac:dyDescent="0.15">
      <c r="AF443" s="5"/>
      <c r="AH443" s="4"/>
    </row>
    <row r="444" spans="32:34" ht="13" x14ac:dyDescent="0.15">
      <c r="AF444" s="5"/>
      <c r="AH444" s="4"/>
    </row>
    <row r="445" spans="32:34" ht="13" x14ac:dyDescent="0.15">
      <c r="AF445" s="5"/>
      <c r="AH445" s="4"/>
    </row>
    <row r="446" spans="32:34" ht="13" x14ac:dyDescent="0.15">
      <c r="AF446" s="5"/>
      <c r="AH446" s="4"/>
    </row>
    <row r="447" spans="32:34" ht="13" x14ac:dyDescent="0.15">
      <c r="AF447" s="5"/>
      <c r="AH447" s="4"/>
    </row>
    <row r="448" spans="32:34" ht="13" x14ac:dyDescent="0.15">
      <c r="AF448" s="5"/>
      <c r="AH448" s="4"/>
    </row>
    <row r="449" spans="32:34" ht="13" x14ac:dyDescent="0.15">
      <c r="AF449" s="5"/>
      <c r="AH449" s="4"/>
    </row>
    <row r="450" spans="32:34" ht="13" x14ac:dyDescent="0.15">
      <c r="AF450" s="5"/>
      <c r="AH450" s="4"/>
    </row>
    <row r="451" spans="32:34" ht="13" x14ac:dyDescent="0.15">
      <c r="AF451" s="5"/>
      <c r="AH451" s="4"/>
    </row>
    <row r="452" spans="32:34" ht="13" x14ac:dyDescent="0.15">
      <c r="AF452" s="5"/>
      <c r="AH452" s="4"/>
    </row>
    <row r="453" spans="32:34" ht="13" x14ac:dyDescent="0.15">
      <c r="AF453" s="5"/>
      <c r="AH453" s="4"/>
    </row>
    <row r="454" spans="32:34" ht="13" x14ac:dyDescent="0.15">
      <c r="AF454" s="5"/>
      <c r="AH454" s="4"/>
    </row>
    <row r="455" spans="32:34" ht="13" x14ac:dyDescent="0.15">
      <c r="AF455" s="5"/>
      <c r="AH455" s="4"/>
    </row>
    <row r="456" spans="32:34" ht="13" x14ac:dyDescent="0.15">
      <c r="AF456" s="5"/>
      <c r="AH456" s="4"/>
    </row>
    <row r="457" spans="32:34" ht="13" x14ac:dyDescent="0.15">
      <c r="AF457" s="5"/>
      <c r="AH457" s="4"/>
    </row>
    <row r="458" spans="32:34" ht="13" x14ac:dyDescent="0.15">
      <c r="AF458" s="5"/>
      <c r="AH458" s="4"/>
    </row>
    <row r="459" spans="32:34" ht="13" x14ac:dyDescent="0.15">
      <c r="AF459" s="5"/>
      <c r="AH459" s="4"/>
    </row>
    <row r="460" spans="32:34" ht="13" x14ac:dyDescent="0.15">
      <c r="AF460" s="5"/>
      <c r="AH460" s="4"/>
    </row>
    <row r="461" spans="32:34" ht="13" x14ac:dyDescent="0.15">
      <c r="AF461" s="5"/>
      <c r="AH461" s="4"/>
    </row>
    <row r="462" spans="32:34" ht="13" x14ac:dyDescent="0.15">
      <c r="AF462" s="5"/>
      <c r="AH462" s="4"/>
    </row>
    <row r="463" spans="32:34" ht="13" x14ac:dyDescent="0.15">
      <c r="AF463" s="5"/>
      <c r="AH463" s="4"/>
    </row>
    <row r="464" spans="32:34" ht="13" x14ac:dyDescent="0.15">
      <c r="AF464" s="5"/>
      <c r="AH464" s="4"/>
    </row>
    <row r="465" spans="32:34" ht="13" x14ac:dyDescent="0.15">
      <c r="AF465" s="5"/>
      <c r="AH465" s="4"/>
    </row>
    <row r="466" spans="32:34" ht="13" x14ac:dyDescent="0.15">
      <c r="AF466" s="5"/>
      <c r="AH466" s="4"/>
    </row>
    <row r="467" spans="32:34" ht="13" x14ac:dyDescent="0.15">
      <c r="AF467" s="5"/>
      <c r="AH467" s="4"/>
    </row>
    <row r="468" spans="32:34" ht="13" x14ac:dyDescent="0.15">
      <c r="AF468" s="5"/>
      <c r="AH468" s="4"/>
    </row>
    <row r="469" spans="32:34" ht="13" x14ac:dyDescent="0.15">
      <c r="AF469" s="5"/>
      <c r="AH469" s="4"/>
    </row>
    <row r="470" spans="32:34" ht="13" x14ac:dyDescent="0.15">
      <c r="AF470" s="5"/>
      <c r="AH470" s="4"/>
    </row>
    <row r="471" spans="32:34" ht="13" x14ac:dyDescent="0.15">
      <c r="AF471" s="5"/>
      <c r="AH471" s="4"/>
    </row>
    <row r="472" spans="32:34" ht="13" x14ac:dyDescent="0.15">
      <c r="AF472" s="5"/>
      <c r="AH472" s="4"/>
    </row>
    <row r="473" spans="32:34" ht="13" x14ac:dyDescent="0.15">
      <c r="AF473" s="5"/>
      <c r="AH473" s="4"/>
    </row>
    <row r="474" spans="32:34" ht="13" x14ac:dyDescent="0.15">
      <c r="AF474" s="5"/>
      <c r="AH474" s="4"/>
    </row>
    <row r="475" spans="32:34" ht="13" x14ac:dyDescent="0.15">
      <c r="AF475" s="5"/>
      <c r="AH475" s="4"/>
    </row>
    <row r="476" spans="32:34" ht="13" x14ac:dyDescent="0.15">
      <c r="AF476" s="5"/>
      <c r="AH476" s="4"/>
    </row>
    <row r="477" spans="32:34" ht="13" x14ac:dyDescent="0.15">
      <c r="AF477" s="5"/>
      <c r="AH477" s="4"/>
    </row>
    <row r="478" spans="32:34" ht="13" x14ac:dyDescent="0.15">
      <c r="AF478" s="5"/>
      <c r="AH478" s="4"/>
    </row>
    <row r="479" spans="32:34" ht="13" x14ac:dyDescent="0.15">
      <c r="AF479" s="5"/>
      <c r="AH479" s="4"/>
    </row>
    <row r="480" spans="32:34" ht="13" x14ac:dyDescent="0.15">
      <c r="AF480" s="5"/>
      <c r="AH480" s="4"/>
    </row>
    <row r="481" spans="32:34" ht="13" x14ac:dyDescent="0.15">
      <c r="AF481" s="5"/>
      <c r="AH481" s="4"/>
    </row>
    <row r="482" spans="32:34" ht="13" x14ac:dyDescent="0.15">
      <c r="AF482" s="5"/>
      <c r="AH482" s="4"/>
    </row>
    <row r="483" spans="32:34" ht="13" x14ac:dyDescent="0.15">
      <c r="AF483" s="5"/>
      <c r="AH483" s="4"/>
    </row>
    <row r="484" spans="32:34" ht="13" x14ac:dyDescent="0.15">
      <c r="AF484" s="5"/>
      <c r="AH484" s="4"/>
    </row>
    <row r="485" spans="32:34" ht="13" x14ac:dyDescent="0.15">
      <c r="AF485" s="5"/>
      <c r="AH485" s="4"/>
    </row>
    <row r="486" spans="32:34" ht="13" x14ac:dyDescent="0.15">
      <c r="AF486" s="5"/>
      <c r="AH486" s="4"/>
    </row>
    <row r="487" spans="32:34" ht="13" x14ac:dyDescent="0.15">
      <c r="AF487" s="5"/>
      <c r="AH487" s="4"/>
    </row>
    <row r="488" spans="32:34" ht="13" x14ac:dyDescent="0.15">
      <c r="AF488" s="5"/>
      <c r="AH488" s="4"/>
    </row>
    <row r="489" spans="32:34" ht="13" x14ac:dyDescent="0.15">
      <c r="AF489" s="5"/>
      <c r="AH489" s="4"/>
    </row>
    <row r="490" spans="32:34" ht="13" x14ac:dyDescent="0.15">
      <c r="AF490" s="5"/>
      <c r="AH490" s="4"/>
    </row>
    <row r="491" spans="32:34" ht="13" x14ac:dyDescent="0.15">
      <c r="AF491" s="5"/>
      <c r="AH491" s="4"/>
    </row>
    <row r="492" spans="32:34" ht="13" x14ac:dyDescent="0.15">
      <c r="AF492" s="5"/>
      <c r="AH492" s="4"/>
    </row>
    <row r="493" spans="32:34" ht="13" x14ac:dyDescent="0.15">
      <c r="AF493" s="5"/>
      <c r="AH493" s="4"/>
    </row>
    <row r="494" spans="32:34" ht="13" x14ac:dyDescent="0.15">
      <c r="AF494" s="5"/>
      <c r="AH494" s="4"/>
    </row>
    <row r="495" spans="32:34" ht="13" x14ac:dyDescent="0.15">
      <c r="AF495" s="5"/>
      <c r="AH495" s="4"/>
    </row>
    <row r="496" spans="32:34" ht="13" x14ac:dyDescent="0.15">
      <c r="AF496" s="5"/>
      <c r="AH496" s="4"/>
    </row>
    <row r="497" spans="32:34" ht="13" x14ac:dyDescent="0.15">
      <c r="AF497" s="5"/>
      <c r="AH497" s="4"/>
    </row>
    <row r="498" spans="32:34" ht="13" x14ac:dyDescent="0.15">
      <c r="AF498" s="5"/>
      <c r="AH498" s="4"/>
    </row>
    <row r="499" spans="32:34" ht="13" x14ac:dyDescent="0.15">
      <c r="AF499" s="5"/>
      <c r="AH499" s="4"/>
    </row>
    <row r="500" spans="32:34" ht="13" x14ac:dyDescent="0.15">
      <c r="AF500" s="5"/>
      <c r="AH500" s="4"/>
    </row>
    <row r="501" spans="32:34" ht="13" x14ac:dyDescent="0.15">
      <c r="AF501" s="5"/>
      <c r="AH501" s="4"/>
    </row>
    <row r="502" spans="32:34" ht="13" x14ac:dyDescent="0.15">
      <c r="AF502" s="5"/>
      <c r="AH502" s="4"/>
    </row>
    <row r="503" spans="32:34" ht="13" x14ac:dyDescent="0.15">
      <c r="AF503" s="5"/>
      <c r="AH503" s="4"/>
    </row>
    <row r="504" spans="32:34" ht="13" x14ac:dyDescent="0.15">
      <c r="AF504" s="5"/>
      <c r="AH504" s="4"/>
    </row>
    <row r="505" spans="32:34" ht="13" x14ac:dyDescent="0.15">
      <c r="AF505" s="5"/>
      <c r="AH505" s="4"/>
    </row>
    <row r="506" spans="32:34" ht="13" x14ac:dyDescent="0.15">
      <c r="AF506" s="5"/>
      <c r="AH506" s="4"/>
    </row>
    <row r="507" spans="32:34" ht="13" x14ac:dyDescent="0.15">
      <c r="AF507" s="5"/>
      <c r="AH507" s="4"/>
    </row>
    <row r="508" spans="32:34" ht="13" x14ac:dyDescent="0.15">
      <c r="AF508" s="5"/>
      <c r="AH508" s="4"/>
    </row>
    <row r="509" spans="32:34" ht="13" x14ac:dyDescent="0.15">
      <c r="AF509" s="5"/>
      <c r="AH509" s="4"/>
    </row>
    <row r="510" spans="32:34" ht="13" x14ac:dyDescent="0.15">
      <c r="AF510" s="5"/>
      <c r="AH510" s="4"/>
    </row>
    <row r="511" spans="32:34" ht="13" x14ac:dyDescent="0.15">
      <c r="AF511" s="5"/>
      <c r="AH511" s="4"/>
    </row>
    <row r="512" spans="32:34" ht="13" x14ac:dyDescent="0.15">
      <c r="AF512" s="5"/>
      <c r="AH512" s="4"/>
    </row>
    <row r="513" spans="32:34" ht="13" x14ac:dyDescent="0.15">
      <c r="AF513" s="5"/>
      <c r="AH513" s="4"/>
    </row>
    <row r="514" spans="32:34" ht="13" x14ac:dyDescent="0.15">
      <c r="AF514" s="5"/>
      <c r="AH514" s="4"/>
    </row>
    <row r="515" spans="32:34" ht="13" x14ac:dyDescent="0.15">
      <c r="AF515" s="5"/>
      <c r="AH515" s="4"/>
    </row>
    <row r="516" spans="32:34" ht="13" x14ac:dyDescent="0.15">
      <c r="AF516" s="5"/>
      <c r="AH516" s="4"/>
    </row>
    <row r="517" spans="32:34" ht="13" x14ac:dyDescent="0.15">
      <c r="AF517" s="5"/>
      <c r="AH517" s="4"/>
    </row>
    <row r="518" spans="32:34" ht="13" x14ac:dyDescent="0.15">
      <c r="AF518" s="5"/>
      <c r="AH518" s="4"/>
    </row>
    <row r="519" spans="32:34" ht="13" x14ac:dyDescent="0.15">
      <c r="AF519" s="5"/>
      <c r="AH519" s="4"/>
    </row>
    <row r="520" spans="32:34" ht="13" x14ac:dyDescent="0.15">
      <c r="AF520" s="5"/>
      <c r="AH520" s="4"/>
    </row>
    <row r="521" spans="32:34" ht="13" x14ac:dyDescent="0.15">
      <c r="AF521" s="5"/>
      <c r="AH521" s="4"/>
    </row>
    <row r="522" spans="32:34" ht="13" x14ac:dyDescent="0.15">
      <c r="AF522" s="5"/>
      <c r="AH522" s="4"/>
    </row>
    <row r="523" spans="32:34" ht="13" x14ac:dyDescent="0.15">
      <c r="AF523" s="5"/>
      <c r="AH523" s="4"/>
    </row>
    <row r="524" spans="32:34" ht="13" x14ac:dyDescent="0.15">
      <c r="AF524" s="5"/>
      <c r="AH524" s="4"/>
    </row>
    <row r="525" spans="32:34" ht="13" x14ac:dyDescent="0.15">
      <c r="AF525" s="5"/>
      <c r="AH525" s="4"/>
    </row>
    <row r="526" spans="32:34" ht="13" x14ac:dyDescent="0.15">
      <c r="AF526" s="5"/>
      <c r="AH526" s="4"/>
    </row>
    <row r="527" spans="32:34" ht="13" x14ac:dyDescent="0.15">
      <c r="AF527" s="5"/>
      <c r="AH527" s="4"/>
    </row>
    <row r="528" spans="32:34" ht="13" x14ac:dyDescent="0.15">
      <c r="AF528" s="5"/>
      <c r="AH528" s="4"/>
    </row>
    <row r="529" spans="32:34" ht="13" x14ac:dyDescent="0.15">
      <c r="AF529" s="5"/>
      <c r="AH529" s="4"/>
    </row>
    <row r="530" spans="32:34" ht="13" x14ac:dyDescent="0.15">
      <c r="AF530" s="5"/>
      <c r="AH530" s="4"/>
    </row>
    <row r="531" spans="32:34" ht="13" x14ac:dyDescent="0.15">
      <c r="AF531" s="5"/>
      <c r="AH531" s="4"/>
    </row>
    <row r="532" spans="32:34" ht="13" x14ac:dyDescent="0.15">
      <c r="AF532" s="5"/>
      <c r="AH532" s="4"/>
    </row>
    <row r="533" spans="32:34" ht="13" x14ac:dyDescent="0.15">
      <c r="AF533" s="5"/>
      <c r="AH533" s="4"/>
    </row>
    <row r="534" spans="32:34" ht="13" x14ac:dyDescent="0.15">
      <c r="AF534" s="5"/>
      <c r="AH534" s="4"/>
    </row>
    <row r="535" spans="32:34" ht="13" x14ac:dyDescent="0.15">
      <c r="AF535" s="5"/>
      <c r="AH535" s="4"/>
    </row>
    <row r="536" spans="32:34" ht="13" x14ac:dyDescent="0.15">
      <c r="AF536" s="5"/>
      <c r="AH536" s="4"/>
    </row>
    <row r="537" spans="32:34" ht="13" x14ac:dyDescent="0.15">
      <c r="AF537" s="5"/>
      <c r="AH537" s="4"/>
    </row>
    <row r="538" spans="32:34" ht="13" x14ac:dyDescent="0.15">
      <c r="AF538" s="5"/>
      <c r="AH538" s="4"/>
    </row>
    <row r="539" spans="32:34" ht="13" x14ac:dyDescent="0.15">
      <c r="AF539" s="5"/>
      <c r="AH539" s="4"/>
    </row>
    <row r="540" spans="32:34" ht="13" x14ac:dyDescent="0.15">
      <c r="AF540" s="5"/>
      <c r="AH540" s="4"/>
    </row>
    <row r="541" spans="32:34" ht="13" x14ac:dyDescent="0.15">
      <c r="AF541" s="5"/>
      <c r="AH541" s="4"/>
    </row>
    <row r="542" spans="32:34" ht="13" x14ac:dyDescent="0.15">
      <c r="AF542" s="5"/>
      <c r="AH542" s="4"/>
    </row>
    <row r="543" spans="32:34" ht="13" x14ac:dyDescent="0.15">
      <c r="AF543" s="5"/>
      <c r="AH543" s="4"/>
    </row>
    <row r="544" spans="32:34" ht="13" x14ac:dyDescent="0.15">
      <c r="AF544" s="5"/>
      <c r="AH544" s="4"/>
    </row>
    <row r="545" spans="32:34" ht="13" x14ac:dyDescent="0.15">
      <c r="AF545" s="5"/>
      <c r="AH545" s="4"/>
    </row>
    <row r="546" spans="32:34" ht="13" x14ac:dyDescent="0.15">
      <c r="AF546" s="5"/>
      <c r="AH546" s="4"/>
    </row>
    <row r="547" spans="32:34" ht="13" x14ac:dyDescent="0.15">
      <c r="AF547" s="5"/>
      <c r="AH547" s="4"/>
    </row>
    <row r="548" spans="32:34" ht="13" x14ac:dyDescent="0.15">
      <c r="AF548" s="5"/>
      <c r="AH548" s="4"/>
    </row>
    <row r="549" spans="32:34" ht="13" x14ac:dyDescent="0.15">
      <c r="AF549" s="5"/>
      <c r="AH549" s="4"/>
    </row>
    <row r="550" spans="32:34" ht="13" x14ac:dyDescent="0.15">
      <c r="AF550" s="5"/>
      <c r="AH550" s="4"/>
    </row>
    <row r="551" spans="32:34" ht="13" x14ac:dyDescent="0.15">
      <c r="AF551" s="5"/>
      <c r="AH551" s="4"/>
    </row>
    <row r="552" spans="32:34" ht="13" x14ac:dyDescent="0.15">
      <c r="AF552" s="5"/>
      <c r="AH552" s="4"/>
    </row>
    <row r="553" spans="32:34" ht="13" x14ac:dyDescent="0.15">
      <c r="AF553" s="5"/>
      <c r="AH553" s="4"/>
    </row>
    <row r="554" spans="32:34" ht="13" x14ac:dyDescent="0.15">
      <c r="AF554" s="5"/>
      <c r="AH554" s="4"/>
    </row>
    <row r="555" spans="32:34" ht="13" x14ac:dyDescent="0.15">
      <c r="AF555" s="5"/>
      <c r="AH555" s="4"/>
    </row>
    <row r="556" spans="32:34" ht="13" x14ac:dyDescent="0.15">
      <c r="AF556" s="5"/>
      <c r="AH556" s="4"/>
    </row>
    <row r="557" spans="32:34" ht="13" x14ac:dyDescent="0.15">
      <c r="AF557" s="5"/>
      <c r="AH557" s="4"/>
    </row>
    <row r="558" spans="32:34" ht="13" x14ac:dyDescent="0.15">
      <c r="AF558" s="5"/>
      <c r="AH558" s="4"/>
    </row>
    <row r="559" spans="32:34" ht="13" x14ac:dyDescent="0.15">
      <c r="AF559" s="5"/>
      <c r="AH559" s="4"/>
    </row>
    <row r="560" spans="32:34" ht="13" x14ac:dyDescent="0.15">
      <c r="AF560" s="5"/>
      <c r="AH560" s="4"/>
    </row>
    <row r="561" spans="32:34" ht="13" x14ac:dyDescent="0.15">
      <c r="AF561" s="5"/>
      <c r="AH561" s="4"/>
    </row>
    <row r="562" spans="32:34" ht="13" x14ac:dyDescent="0.15">
      <c r="AF562" s="5"/>
      <c r="AH562" s="4"/>
    </row>
    <row r="563" spans="32:34" ht="13" x14ac:dyDescent="0.15">
      <c r="AF563" s="5"/>
      <c r="AH563" s="4"/>
    </row>
    <row r="564" spans="32:34" ht="13" x14ac:dyDescent="0.15">
      <c r="AF564" s="5"/>
      <c r="AH564" s="4"/>
    </row>
    <row r="565" spans="32:34" ht="13" x14ac:dyDescent="0.15">
      <c r="AF565" s="5"/>
      <c r="AH565" s="4"/>
    </row>
    <row r="566" spans="32:34" ht="13" x14ac:dyDescent="0.15">
      <c r="AF566" s="5"/>
      <c r="AH566" s="4"/>
    </row>
    <row r="567" spans="32:34" ht="13" x14ac:dyDescent="0.15">
      <c r="AF567" s="5"/>
      <c r="AH567" s="4"/>
    </row>
    <row r="568" spans="32:34" ht="13" x14ac:dyDescent="0.15">
      <c r="AF568" s="5"/>
      <c r="AH568" s="4"/>
    </row>
    <row r="569" spans="32:34" ht="13" x14ac:dyDescent="0.15">
      <c r="AF569" s="5"/>
      <c r="AH569" s="4"/>
    </row>
    <row r="570" spans="32:34" ht="13" x14ac:dyDescent="0.15">
      <c r="AF570" s="5"/>
      <c r="AH570" s="4"/>
    </row>
    <row r="571" spans="32:34" ht="13" x14ac:dyDescent="0.15">
      <c r="AF571" s="5"/>
      <c r="AH571" s="4"/>
    </row>
    <row r="572" spans="32:34" ht="13" x14ac:dyDescent="0.15">
      <c r="AF572" s="5"/>
      <c r="AH572" s="4"/>
    </row>
    <row r="573" spans="32:34" ht="13" x14ac:dyDescent="0.15">
      <c r="AF573" s="5"/>
      <c r="AH573" s="4"/>
    </row>
    <row r="574" spans="32:34" ht="13" x14ac:dyDescent="0.15">
      <c r="AF574" s="5"/>
      <c r="AH574" s="4"/>
    </row>
    <row r="575" spans="32:34" ht="13" x14ac:dyDescent="0.15">
      <c r="AF575" s="5"/>
      <c r="AH575" s="4"/>
    </row>
    <row r="576" spans="32:34" ht="13" x14ac:dyDescent="0.15">
      <c r="AF576" s="5"/>
      <c r="AH576" s="4"/>
    </row>
    <row r="577" spans="32:34" ht="13" x14ac:dyDescent="0.15">
      <c r="AF577" s="5"/>
      <c r="AH577" s="4"/>
    </row>
    <row r="578" spans="32:34" ht="13" x14ac:dyDescent="0.15">
      <c r="AF578" s="5"/>
      <c r="AH578" s="4"/>
    </row>
    <row r="579" spans="32:34" ht="13" x14ac:dyDescent="0.15">
      <c r="AF579" s="5"/>
      <c r="AH579" s="4"/>
    </row>
    <row r="580" spans="32:34" ht="13" x14ac:dyDescent="0.15">
      <c r="AF580" s="5"/>
      <c r="AH580" s="4"/>
    </row>
    <row r="581" spans="32:34" ht="13" x14ac:dyDescent="0.15">
      <c r="AF581" s="5"/>
      <c r="AH581" s="4"/>
    </row>
    <row r="582" spans="32:34" ht="13" x14ac:dyDescent="0.15">
      <c r="AF582" s="5"/>
      <c r="AH582" s="4"/>
    </row>
    <row r="583" spans="32:34" ht="13" x14ac:dyDescent="0.15">
      <c r="AF583" s="5"/>
      <c r="AH583" s="4"/>
    </row>
    <row r="584" spans="32:34" ht="13" x14ac:dyDescent="0.15">
      <c r="AF584" s="5"/>
      <c r="AH584" s="4"/>
    </row>
    <row r="585" spans="32:34" ht="13" x14ac:dyDescent="0.15">
      <c r="AF585" s="5"/>
      <c r="AH585" s="4"/>
    </row>
    <row r="586" spans="32:34" ht="13" x14ac:dyDescent="0.15">
      <c r="AF586" s="5"/>
      <c r="AH586" s="4"/>
    </row>
    <row r="587" spans="32:34" ht="13" x14ac:dyDescent="0.15">
      <c r="AF587" s="5"/>
      <c r="AH587" s="4"/>
    </row>
    <row r="588" spans="32:34" ht="13" x14ac:dyDescent="0.15">
      <c r="AF588" s="5"/>
      <c r="AH588" s="4"/>
    </row>
    <row r="589" spans="32:34" ht="13" x14ac:dyDescent="0.15">
      <c r="AF589" s="5"/>
      <c r="AH589" s="4"/>
    </row>
    <row r="590" spans="32:34" ht="13" x14ac:dyDescent="0.15">
      <c r="AF590" s="5"/>
      <c r="AH590" s="4"/>
    </row>
    <row r="591" spans="32:34" ht="13" x14ac:dyDescent="0.15">
      <c r="AF591" s="5"/>
      <c r="AH591" s="4"/>
    </row>
    <row r="592" spans="32:34" ht="13" x14ac:dyDescent="0.15">
      <c r="AF592" s="5"/>
      <c r="AH592" s="4"/>
    </row>
    <row r="593" spans="32:34" ht="13" x14ac:dyDescent="0.15">
      <c r="AF593" s="5"/>
      <c r="AH593" s="4"/>
    </row>
    <row r="594" spans="32:34" ht="13" x14ac:dyDescent="0.15">
      <c r="AF594" s="5"/>
      <c r="AH594" s="4"/>
    </row>
    <row r="595" spans="32:34" ht="13" x14ac:dyDescent="0.15">
      <c r="AF595" s="5"/>
      <c r="AH595" s="4"/>
    </row>
    <row r="596" spans="32:34" ht="13" x14ac:dyDescent="0.15">
      <c r="AF596" s="5"/>
      <c r="AH596" s="4"/>
    </row>
    <row r="597" spans="32:34" ht="13" x14ac:dyDescent="0.15">
      <c r="AF597" s="5"/>
      <c r="AH597" s="4"/>
    </row>
    <row r="598" spans="32:34" ht="13" x14ac:dyDescent="0.15">
      <c r="AF598" s="5"/>
      <c r="AH598" s="4"/>
    </row>
    <row r="599" spans="32:34" ht="13" x14ac:dyDescent="0.15">
      <c r="AF599" s="5"/>
      <c r="AH599" s="4"/>
    </row>
    <row r="600" spans="32:34" ht="13" x14ac:dyDescent="0.15">
      <c r="AF600" s="5"/>
      <c r="AH600" s="4"/>
    </row>
    <row r="601" spans="32:34" ht="13" x14ac:dyDescent="0.15">
      <c r="AF601" s="5"/>
      <c r="AH601" s="4"/>
    </row>
    <row r="602" spans="32:34" ht="13" x14ac:dyDescent="0.15">
      <c r="AF602" s="5"/>
      <c r="AH602" s="4"/>
    </row>
    <row r="603" spans="32:34" ht="13" x14ac:dyDescent="0.15">
      <c r="AF603" s="5"/>
      <c r="AH603" s="4"/>
    </row>
    <row r="604" spans="32:34" ht="13" x14ac:dyDescent="0.15">
      <c r="AF604" s="5"/>
      <c r="AH604" s="4"/>
    </row>
    <row r="605" spans="32:34" ht="13" x14ac:dyDescent="0.15">
      <c r="AF605" s="5"/>
      <c r="AH605" s="4"/>
    </row>
    <row r="606" spans="32:34" ht="13" x14ac:dyDescent="0.15">
      <c r="AF606" s="5"/>
      <c r="AH606" s="4"/>
    </row>
    <row r="607" spans="32:34" ht="13" x14ac:dyDescent="0.15">
      <c r="AF607" s="5"/>
      <c r="AH607" s="4"/>
    </row>
    <row r="608" spans="32:34" ht="13" x14ac:dyDescent="0.15">
      <c r="AF608" s="5"/>
      <c r="AH608" s="4"/>
    </row>
    <row r="609" spans="32:34" ht="13" x14ac:dyDescent="0.15">
      <c r="AF609" s="5"/>
      <c r="AH609" s="4"/>
    </row>
    <row r="610" spans="32:34" ht="13" x14ac:dyDescent="0.15">
      <c r="AF610" s="5"/>
      <c r="AH610" s="4"/>
    </row>
    <row r="611" spans="32:34" ht="13" x14ac:dyDescent="0.15">
      <c r="AF611" s="5"/>
      <c r="AH611" s="4"/>
    </row>
    <row r="612" spans="32:34" ht="13" x14ac:dyDescent="0.15">
      <c r="AF612" s="5"/>
      <c r="AH612" s="4"/>
    </row>
    <row r="613" spans="32:34" ht="13" x14ac:dyDescent="0.15">
      <c r="AF613" s="5"/>
      <c r="AH613" s="4"/>
    </row>
    <row r="614" spans="32:34" ht="13" x14ac:dyDescent="0.15">
      <c r="AF614" s="5"/>
      <c r="AH614" s="4"/>
    </row>
    <row r="615" spans="32:34" ht="13" x14ac:dyDescent="0.15">
      <c r="AF615" s="5"/>
      <c r="AH615" s="4"/>
    </row>
    <row r="616" spans="32:34" ht="13" x14ac:dyDescent="0.15">
      <c r="AF616" s="5"/>
      <c r="AH616" s="4"/>
    </row>
    <row r="617" spans="32:34" ht="13" x14ac:dyDescent="0.15">
      <c r="AF617" s="5"/>
      <c r="AH617" s="4"/>
    </row>
    <row r="618" spans="32:34" ht="13" x14ac:dyDescent="0.15">
      <c r="AF618" s="5"/>
      <c r="AH618" s="4"/>
    </row>
    <row r="619" spans="32:34" ht="13" x14ac:dyDescent="0.15">
      <c r="AF619" s="5"/>
      <c r="AH619" s="4"/>
    </row>
    <row r="620" spans="32:34" ht="13" x14ac:dyDescent="0.15">
      <c r="AF620" s="5"/>
      <c r="AH620" s="4"/>
    </row>
    <row r="621" spans="32:34" ht="13" x14ac:dyDescent="0.15">
      <c r="AF621" s="5"/>
      <c r="AH621" s="4"/>
    </row>
    <row r="622" spans="32:34" ht="13" x14ac:dyDescent="0.15">
      <c r="AF622" s="5"/>
      <c r="AH622" s="4"/>
    </row>
    <row r="623" spans="32:34" ht="13" x14ac:dyDescent="0.15">
      <c r="AF623" s="5"/>
      <c r="AH623" s="4"/>
    </row>
    <row r="624" spans="32:34" ht="13" x14ac:dyDescent="0.15">
      <c r="AF624" s="5"/>
      <c r="AH624" s="4"/>
    </row>
    <row r="625" spans="32:34" ht="13" x14ac:dyDescent="0.15">
      <c r="AF625" s="5"/>
      <c r="AH625" s="4"/>
    </row>
    <row r="626" spans="32:34" ht="13" x14ac:dyDescent="0.15">
      <c r="AF626" s="5"/>
      <c r="AH626" s="4"/>
    </row>
    <row r="627" spans="32:34" ht="13" x14ac:dyDescent="0.15">
      <c r="AF627" s="5"/>
      <c r="AH627" s="4"/>
    </row>
    <row r="628" spans="32:34" ht="13" x14ac:dyDescent="0.15">
      <c r="AF628" s="5"/>
      <c r="AH628" s="4"/>
    </row>
    <row r="629" spans="32:34" ht="13" x14ac:dyDescent="0.15">
      <c r="AF629" s="5"/>
      <c r="AH629" s="4"/>
    </row>
    <row r="630" spans="32:34" ht="13" x14ac:dyDescent="0.15">
      <c r="AF630" s="5"/>
      <c r="AH630" s="4"/>
    </row>
    <row r="631" spans="32:34" ht="13" x14ac:dyDescent="0.15">
      <c r="AF631" s="5"/>
      <c r="AH631" s="4"/>
    </row>
    <row r="632" spans="32:34" ht="13" x14ac:dyDescent="0.15">
      <c r="AF632" s="5"/>
      <c r="AH632" s="4"/>
    </row>
    <row r="633" spans="32:34" ht="13" x14ac:dyDescent="0.15">
      <c r="AF633" s="5"/>
      <c r="AH633" s="4"/>
    </row>
    <row r="634" spans="32:34" ht="13" x14ac:dyDescent="0.15">
      <c r="AF634" s="5"/>
      <c r="AH634" s="4"/>
    </row>
    <row r="635" spans="32:34" ht="13" x14ac:dyDescent="0.15">
      <c r="AF635" s="5"/>
      <c r="AH635" s="4"/>
    </row>
    <row r="636" spans="32:34" ht="13" x14ac:dyDescent="0.15">
      <c r="AF636" s="5"/>
      <c r="AH636" s="4"/>
    </row>
    <row r="637" spans="32:34" ht="13" x14ac:dyDescent="0.15">
      <c r="AF637" s="5"/>
      <c r="AH637" s="4"/>
    </row>
    <row r="638" spans="32:34" ht="13" x14ac:dyDescent="0.15">
      <c r="AF638" s="5"/>
      <c r="AH638" s="4"/>
    </row>
    <row r="639" spans="32:34" ht="13" x14ac:dyDescent="0.15">
      <c r="AF639" s="5"/>
      <c r="AH639" s="4"/>
    </row>
    <row r="640" spans="32:34" ht="13" x14ac:dyDescent="0.15">
      <c r="AF640" s="5"/>
      <c r="AH640" s="4"/>
    </row>
    <row r="641" spans="32:34" ht="13" x14ac:dyDescent="0.15">
      <c r="AF641" s="5"/>
      <c r="AH641" s="4"/>
    </row>
    <row r="642" spans="32:34" ht="13" x14ac:dyDescent="0.15">
      <c r="AF642" s="5"/>
      <c r="AH642" s="4"/>
    </row>
    <row r="643" spans="32:34" ht="13" x14ac:dyDescent="0.15">
      <c r="AF643" s="5"/>
      <c r="AH643" s="4"/>
    </row>
    <row r="644" spans="32:34" ht="13" x14ac:dyDescent="0.15">
      <c r="AF644" s="5"/>
      <c r="AH644" s="4"/>
    </row>
    <row r="645" spans="32:34" ht="13" x14ac:dyDescent="0.15">
      <c r="AF645" s="5"/>
      <c r="AH645" s="4"/>
    </row>
    <row r="646" spans="32:34" ht="13" x14ac:dyDescent="0.15">
      <c r="AF646" s="5"/>
      <c r="AH646" s="4"/>
    </row>
    <row r="647" spans="32:34" ht="13" x14ac:dyDescent="0.15">
      <c r="AF647" s="5"/>
      <c r="AH647" s="4"/>
    </row>
    <row r="648" spans="32:34" ht="13" x14ac:dyDescent="0.15">
      <c r="AF648" s="5"/>
      <c r="AH648" s="4"/>
    </row>
    <row r="649" spans="32:34" ht="13" x14ac:dyDescent="0.15">
      <c r="AF649" s="5"/>
      <c r="AH649" s="4"/>
    </row>
    <row r="650" spans="32:34" ht="13" x14ac:dyDescent="0.15">
      <c r="AF650" s="5"/>
      <c r="AH650" s="4"/>
    </row>
    <row r="651" spans="32:34" ht="13" x14ac:dyDescent="0.15">
      <c r="AF651" s="5"/>
      <c r="AH651" s="4"/>
    </row>
    <row r="652" spans="32:34" ht="13" x14ac:dyDescent="0.15">
      <c r="AF652" s="5"/>
      <c r="AH652" s="4"/>
    </row>
    <row r="653" spans="32:34" ht="13" x14ac:dyDescent="0.15">
      <c r="AF653" s="5"/>
      <c r="AH653" s="4"/>
    </row>
    <row r="654" spans="32:34" ht="13" x14ac:dyDescent="0.15">
      <c r="AF654" s="5"/>
      <c r="AH654" s="4"/>
    </row>
    <row r="655" spans="32:34" ht="13" x14ac:dyDescent="0.15">
      <c r="AF655" s="5"/>
      <c r="AH655" s="4"/>
    </row>
    <row r="656" spans="32:34" ht="13" x14ac:dyDescent="0.15">
      <c r="AF656" s="5"/>
      <c r="AH656" s="4"/>
    </row>
    <row r="657" spans="32:34" ht="13" x14ac:dyDescent="0.15">
      <c r="AF657" s="5"/>
      <c r="AH657" s="4"/>
    </row>
    <row r="658" spans="32:34" ht="13" x14ac:dyDescent="0.15">
      <c r="AF658" s="5"/>
      <c r="AH658" s="4"/>
    </row>
    <row r="659" spans="32:34" ht="13" x14ac:dyDescent="0.15">
      <c r="AF659" s="5"/>
      <c r="AH659" s="4"/>
    </row>
    <row r="660" spans="32:34" ht="13" x14ac:dyDescent="0.15">
      <c r="AF660" s="5"/>
      <c r="AH660" s="4"/>
    </row>
    <row r="661" spans="32:34" ht="13" x14ac:dyDescent="0.15">
      <c r="AF661" s="5"/>
      <c r="AH661" s="4"/>
    </row>
    <row r="662" spans="32:34" ht="13" x14ac:dyDescent="0.15">
      <c r="AF662" s="5"/>
      <c r="AH662" s="4"/>
    </row>
    <row r="663" spans="32:34" ht="13" x14ac:dyDescent="0.15">
      <c r="AF663" s="5"/>
      <c r="AH663" s="4"/>
    </row>
    <row r="664" spans="32:34" ht="13" x14ac:dyDescent="0.15">
      <c r="AF664" s="5"/>
      <c r="AH664" s="4"/>
    </row>
    <row r="665" spans="32:34" ht="13" x14ac:dyDescent="0.15">
      <c r="AF665" s="5"/>
      <c r="AH665" s="4"/>
    </row>
    <row r="666" spans="32:34" ht="13" x14ac:dyDescent="0.15">
      <c r="AF666" s="5"/>
      <c r="AH666" s="4"/>
    </row>
    <row r="667" spans="32:34" ht="13" x14ac:dyDescent="0.15">
      <c r="AF667" s="5"/>
      <c r="AH667" s="4"/>
    </row>
    <row r="668" spans="32:34" ht="13" x14ac:dyDescent="0.15">
      <c r="AF668" s="5"/>
      <c r="AH668" s="4"/>
    </row>
    <row r="669" spans="32:34" ht="13" x14ac:dyDescent="0.15">
      <c r="AF669" s="5"/>
      <c r="AH669" s="4"/>
    </row>
    <row r="670" spans="32:34" ht="13" x14ac:dyDescent="0.15">
      <c r="AF670" s="5"/>
      <c r="AH670" s="4"/>
    </row>
    <row r="671" spans="32:34" ht="13" x14ac:dyDescent="0.15">
      <c r="AF671" s="5"/>
      <c r="AH671" s="4"/>
    </row>
    <row r="672" spans="32:34" ht="13" x14ac:dyDescent="0.15">
      <c r="AF672" s="5"/>
      <c r="AH672" s="4"/>
    </row>
    <row r="673" spans="32:34" ht="13" x14ac:dyDescent="0.15">
      <c r="AF673" s="5"/>
      <c r="AH673" s="4"/>
    </row>
    <row r="674" spans="32:34" ht="13" x14ac:dyDescent="0.15">
      <c r="AF674" s="5"/>
      <c r="AH674" s="4"/>
    </row>
    <row r="675" spans="32:34" ht="13" x14ac:dyDescent="0.15">
      <c r="AF675" s="5"/>
      <c r="AH675" s="4"/>
    </row>
    <row r="676" spans="32:34" ht="13" x14ac:dyDescent="0.15">
      <c r="AF676" s="5"/>
      <c r="AH676" s="4"/>
    </row>
    <row r="677" spans="32:34" ht="13" x14ac:dyDescent="0.15">
      <c r="AF677" s="5"/>
      <c r="AH677" s="4"/>
    </row>
    <row r="678" spans="32:34" ht="13" x14ac:dyDescent="0.15">
      <c r="AF678" s="5"/>
      <c r="AH678" s="4"/>
    </row>
    <row r="679" spans="32:34" ht="13" x14ac:dyDescent="0.15">
      <c r="AF679" s="5"/>
      <c r="AH679" s="4"/>
    </row>
    <row r="680" spans="32:34" ht="13" x14ac:dyDescent="0.15">
      <c r="AF680" s="5"/>
      <c r="AH680" s="4"/>
    </row>
    <row r="681" spans="32:34" ht="13" x14ac:dyDescent="0.15">
      <c r="AF681" s="5"/>
      <c r="AH681" s="4"/>
    </row>
    <row r="682" spans="32:34" ht="13" x14ac:dyDescent="0.15">
      <c r="AF682" s="5"/>
      <c r="AH682" s="4"/>
    </row>
    <row r="683" spans="32:34" ht="13" x14ac:dyDescent="0.15">
      <c r="AF683" s="5"/>
      <c r="AH683" s="4"/>
    </row>
    <row r="684" spans="32:34" ht="13" x14ac:dyDescent="0.15">
      <c r="AF684" s="5"/>
      <c r="AH684" s="4"/>
    </row>
    <row r="685" spans="32:34" ht="13" x14ac:dyDescent="0.15">
      <c r="AF685" s="5"/>
      <c r="AH685" s="4"/>
    </row>
    <row r="686" spans="32:34" ht="13" x14ac:dyDescent="0.15">
      <c r="AF686" s="5"/>
      <c r="AH686" s="4"/>
    </row>
    <row r="687" spans="32:34" ht="13" x14ac:dyDescent="0.15">
      <c r="AF687" s="5"/>
      <c r="AH687" s="4"/>
    </row>
    <row r="688" spans="32:34" ht="13" x14ac:dyDescent="0.15">
      <c r="AF688" s="5"/>
      <c r="AH688" s="4"/>
    </row>
    <row r="689" spans="32:34" ht="13" x14ac:dyDescent="0.15">
      <c r="AF689" s="5"/>
      <c r="AH689" s="4"/>
    </row>
    <row r="690" spans="32:34" ht="13" x14ac:dyDescent="0.15">
      <c r="AF690" s="5"/>
      <c r="AH690" s="4"/>
    </row>
    <row r="691" spans="32:34" ht="13" x14ac:dyDescent="0.15">
      <c r="AF691" s="5"/>
      <c r="AH691" s="4"/>
    </row>
    <row r="692" spans="32:34" ht="13" x14ac:dyDescent="0.15">
      <c r="AF692" s="5"/>
      <c r="AH692" s="4"/>
    </row>
    <row r="693" spans="32:34" ht="13" x14ac:dyDescent="0.15">
      <c r="AF693" s="5"/>
      <c r="AH693" s="4"/>
    </row>
    <row r="694" spans="32:34" ht="13" x14ac:dyDescent="0.15">
      <c r="AF694" s="5"/>
      <c r="AH694" s="4"/>
    </row>
    <row r="695" spans="32:34" ht="13" x14ac:dyDescent="0.15">
      <c r="AF695" s="5"/>
      <c r="AH695" s="4"/>
    </row>
    <row r="696" spans="32:34" ht="13" x14ac:dyDescent="0.15">
      <c r="AF696" s="5"/>
      <c r="AH696" s="4"/>
    </row>
    <row r="697" spans="32:34" ht="13" x14ac:dyDescent="0.15">
      <c r="AF697" s="5"/>
      <c r="AH697" s="4"/>
    </row>
    <row r="698" spans="32:34" ht="13" x14ac:dyDescent="0.15">
      <c r="AF698" s="5"/>
      <c r="AH698" s="4"/>
    </row>
    <row r="699" spans="32:34" ht="13" x14ac:dyDescent="0.15">
      <c r="AF699" s="5"/>
      <c r="AH699" s="4"/>
    </row>
    <row r="700" spans="32:34" ht="13" x14ac:dyDescent="0.15">
      <c r="AF700" s="5"/>
      <c r="AH700" s="4"/>
    </row>
    <row r="701" spans="32:34" ht="13" x14ac:dyDescent="0.15">
      <c r="AF701" s="5"/>
      <c r="AH701" s="4"/>
    </row>
    <row r="702" spans="32:34" ht="13" x14ac:dyDescent="0.15">
      <c r="AF702" s="5"/>
      <c r="AH702" s="4"/>
    </row>
    <row r="703" spans="32:34" ht="13" x14ac:dyDescent="0.15">
      <c r="AF703" s="5"/>
      <c r="AH703" s="4"/>
    </row>
    <row r="704" spans="32:34" ht="13" x14ac:dyDescent="0.15">
      <c r="AF704" s="5"/>
      <c r="AH704" s="4"/>
    </row>
    <row r="705" spans="32:34" ht="13" x14ac:dyDescent="0.15">
      <c r="AF705" s="5"/>
      <c r="AH705" s="4"/>
    </row>
    <row r="706" spans="32:34" ht="13" x14ac:dyDescent="0.15">
      <c r="AF706" s="5"/>
      <c r="AH706" s="4"/>
    </row>
    <row r="707" spans="32:34" ht="13" x14ac:dyDescent="0.15">
      <c r="AF707" s="5"/>
      <c r="AH707" s="4"/>
    </row>
    <row r="708" spans="32:34" ht="13" x14ac:dyDescent="0.15">
      <c r="AF708" s="5"/>
      <c r="AH708" s="4"/>
    </row>
    <row r="709" spans="32:34" ht="13" x14ac:dyDescent="0.15">
      <c r="AF709" s="5"/>
      <c r="AH709" s="4"/>
    </row>
    <row r="710" spans="32:34" ht="13" x14ac:dyDescent="0.15">
      <c r="AF710" s="5"/>
      <c r="AH710" s="4"/>
    </row>
    <row r="711" spans="32:34" ht="13" x14ac:dyDescent="0.15">
      <c r="AF711" s="5"/>
      <c r="AH711" s="4"/>
    </row>
    <row r="712" spans="32:34" ht="13" x14ac:dyDescent="0.15">
      <c r="AF712" s="5"/>
      <c r="AH712" s="4"/>
    </row>
    <row r="713" spans="32:34" ht="13" x14ac:dyDescent="0.15">
      <c r="AF713" s="5"/>
      <c r="AH713" s="4"/>
    </row>
    <row r="714" spans="32:34" ht="13" x14ac:dyDescent="0.15">
      <c r="AF714" s="5"/>
      <c r="AH714" s="4"/>
    </row>
    <row r="715" spans="32:34" ht="13" x14ac:dyDescent="0.15">
      <c r="AF715" s="5"/>
      <c r="AH715" s="4"/>
    </row>
    <row r="716" spans="32:34" ht="13" x14ac:dyDescent="0.15">
      <c r="AF716" s="5"/>
      <c r="AH716" s="4"/>
    </row>
    <row r="717" spans="32:34" ht="13" x14ac:dyDescent="0.15">
      <c r="AF717" s="5"/>
      <c r="AH717" s="4"/>
    </row>
    <row r="718" spans="32:34" ht="13" x14ac:dyDescent="0.15">
      <c r="AF718" s="5"/>
      <c r="AH718" s="4"/>
    </row>
    <row r="719" spans="32:34" ht="13" x14ac:dyDescent="0.15">
      <c r="AF719" s="5"/>
      <c r="AH719" s="4"/>
    </row>
    <row r="720" spans="32:34" ht="13" x14ac:dyDescent="0.15">
      <c r="AF720" s="5"/>
      <c r="AH720" s="4"/>
    </row>
    <row r="721" spans="32:34" ht="13" x14ac:dyDescent="0.15">
      <c r="AF721" s="5"/>
      <c r="AH721" s="4"/>
    </row>
    <row r="722" spans="32:34" ht="13" x14ac:dyDescent="0.15">
      <c r="AF722" s="5"/>
      <c r="AH722" s="4"/>
    </row>
    <row r="723" spans="32:34" ht="13" x14ac:dyDescent="0.15">
      <c r="AF723" s="5"/>
      <c r="AH723" s="4"/>
    </row>
    <row r="724" spans="32:34" ht="13" x14ac:dyDescent="0.15">
      <c r="AF724" s="5"/>
      <c r="AH724" s="4"/>
    </row>
    <row r="725" spans="32:34" ht="13" x14ac:dyDescent="0.15">
      <c r="AF725" s="5"/>
      <c r="AH725" s="4"/>
    </row>
    <row r="726" spans="32:34" ht="13" x14ac:dyDescent="0.15">
      <c r="AF726" s="5"/>
      <c r="AH726" s="4"/>
    </row>
    <row r="727" spans="32:34" ht="13" x14ac:dyDescent="0.15">
      <c r="AF727" s="5"/>
      <c r="AH727" s="4"/>
    </row>
    <row r="728" spans="32:34" ht="13" x14ac:dyDescent="0.15">
      <c r="AF728" s="5"/>
      <c r="AH728" s="4"/>
    </row>
    <row r="729" spans="32:34" ht="13" x14ac:dyDescent="0.15">
      <c r="AF729" s="5"/>
      <c r="AH729" s="4"/>
    </row>
    <row r="730" spans="32:34" ht="13" x14ac:dyDescent="0.15">
      <c r="AF730" s="5"/>
      <c r="AH730" s="4"/>
    </row>
    <row r="731" spans="32:34" ht="13" x14ac:dyDescent="0.15">
      <c r="AF731" s="5"/>
      <c r="AH731" s="4"/>
    </row>
    <row r="732" spans="32:34" ht="13" x14ac:dyDescent="0.15">
      <c r="AF732" s="5"/>
      <c r="AH732" s="4"/>
    </row>
    <row r="733" spans="32:34" ht="13" x14ac:dyDescent="0.15">
      <c r="AF733" s="5"/>
      <c r="AH733" s="4"/>
    </row>
    <row r="734" spans="32:34" ht="13" x14ac:dyDescent="0.15">
      <c r="AF734" s="5"/>
      <c r="AH734" s="4"/>
    </row>
    <row r="735" spans="32:34" ht="13" x14ac:dyDescent="0.15">
      <c r="AF735" s="5"/>
      <c r="AH735" s="4"/>
    </row>
    <row r="736" spans="32:34" ht="13" x14ac:dyDescent="0.15">
      <c r="AF736" s="5"/>
      <c r="AH736" s="4"/>
    </row>
    <row r="737" spans="32:34" ht="13" x14ac:dyDescent="0.15">
      <c r="AF737" s="5"/>
      <c r="AH737" s="4"/>
    </row>
    <row r="738" spans="32:34" ht="13" x14ac:dyDescent="0.15">
      <c r="AF738" s="5"/>
      <c r="AH738" s="4"/>
    </row>
    <row r="739" spans="32:34" ht="13" x14ac:dyDescent="0.15">
      <c r="AF739" s="5"/>
      <c r="AH739" s="4"/>
    </row>
    <row r="740" spans="32:34" ht="13" x14ac:dyDescent="0.15">
      <c r="AF740" s="5"/>
      <c r="AH740" s="4"/>
    </row>
    <row r="741" spans="32:34" ht="13" x14ac:dyDescent="0.15">
      <c r="AF741" s="5"/>
      <c r="AH741" s="4"/>
    </row>
    <row r="742" spans="32:34" ht="13" x14ac:dyDescent="0.15">
      <c r="AF742" s="5"/>
      <c r="AH742" s="4"/>
    </row>
    <row r="743" spans="32:34" ht="13" x14ac:dyDescent="0.15">
      <c r="AF743" s="5"/>
      <c r="AH743" s="4"/>
    </row>
    <row r="744" spans="32:34" ht="13" x14ac:dyDescent="0.15">
      <c r="AF744" s="5"/>
      <c r="AH744" s="4"/>
    </row>
    <row r="745" spans="32:34" ht="13" x14ac:dyDescent="0.15">
      <c r="AF745" s="5"/>
      <c r="AH745" s="4"/>
    </row>
    <row r="746" spans="32:34" ht="13" x14ac:dyDescent="0.15">
      <c r="AF746" s="5"/>
      <c r="AH746" s="4"/>
    </row>
    <row r="747" spans="32:34" ht="13" x14ac:dyDescent="0.15">
      <c r="AF747" s="5"/>
      <c r="AH747" s="4"/>
    </row>
    <row r="748" spans="32:34" ht="13" x14ac:dyDescent="0.15">
      <c r="AF748" s="5"/>
      <c r="AH748" s="4"/>
    </row>
    <row r="749" spans="32:34" ht="13" x14ac:dyDescent="0.15">
      <c r="AF749" s="5"/>
      <c r="AH749" s="4"/>
    </row>
    <row r="750" spans="32:34" ht="13" x14ac:dyDescent="0.15">
      <c r="AF750" s="5"/>
      <c r="AH750" s="4"/>
    </row>
    <row r="751" spans="32:34" ht="13" x14ac:dyDescent="0.15">
      <c r="AF751" s="5"/>
      <c r="AH751" s="4"/>
    </row>
    <row r="752" spans="32:34" ht="13" x14ac:dyDescent="0.15">
      <c r="AF752" s="5"/>
      <c r="AH752" s="4"/>
    </row>
    <row r="753" spans="32:34" ht="13" x14ac:dyDescent="0.15">
      <c r="AF753" s="5"/>
      <c r="AH753" s="4"/>
    </row>
    <row r="754" spans="32:34" ht="13" x14ac:dyDescent="0.15">
      <c r="AF754" s="5"/>
      <c r="AH754" s="4"/>
    </row>
    <row r="755" spans="32:34" ht="13" x14ac:dyDescent="0.15">
      <c r="AF755" s="5"/>
      <c r="AH755" s="4"/>
    </row>
    <row r="756" spans="32:34" ht="13" x14ac:dyDescent="0.15">
      <c r="AF756" s="5"/>
      <c r="AH756" s="4"/>
    </row>
    <row r="757" spans="32:34" ht="13" x14ac:dyDescent="0.15">
      <c r="AF757" s="5"/>
      <c r="AH757" s="4"/>
    </row>
    <row r="758" spans="32:34" ht="13" x14ac:dyDescent="0.15">
      <c r="AF758" s="5"/>
      <c r="AH758" s="4"/>
    </row>
    <row r="759" spans="32:34" ht="13" x14ac:dyDescent="0.15">
      <c r="AF759" s="5"/>
      <c r="AH759" s="4"/>
    </row>
    <row r="760" spans="32:34" ht="13" x14ac:dyDescent="0.15">
      <c r="AF760" s="5"/>
      <c r="AH760" s="4"/>
    </row>
    <row r="761" spans="32:34" ht="13" x14ac:dyDescent="0.15">
      <c r="AF761" s="5"/>
      <c r="AH761" s="4"/>
    </row>
    <row r="762" spans="32:34" ht="13" x14ac:dyDescent="0.15">
      <c r="AF762" s="5"/>
      <c r="AH762" s="4"/>
    </row>
    <row r="763" spans="32:34" ht="13" x14ac:dyDescent="0.15">
      <c r="AF763" s="5"/>
      <c r="AH763" s="4"/>
    </row>
    <row r="764" spans="32:34" ht="13" x14ac:dyDescent="0.15">
      <c r="AF764" s="5"/>
      <c r="AH764" s="4"/>
    </row>
    <row r="765" spans="32:34" ht="13" x14ac:dyDescent="0.15">
      <c r="AF765" s="5"/>
      <c r="AH765" s="4"/>
    </row>
    <row r="766" spans="32:34" ht="13" x14ac:dyDescent="0.15">
      <c r="AF766" s="5"/>
      <c r="AH766" s="4"/>
    </row>
    <row r="767" spans="32:34" ht="13" x14ac:dyDescent="0.15">
      <c r="AF767" s="5"/>
      <c r="AH767" s="4"/>
    </row>
    <row r="768" spans="32:34" ht="13" x14ac:dyDescent="0.15">
      <c r="AF768" s="5"/>
      <c r="AH768" s="4"/>
    </row>
    <row r="769" spans="32:34" ht="13" x14ac:dyDescent="0.15">
      <c r="AF769" s="5"/>
      <c r="AH769" s="4"/>
    </row>
    <row r="770" spans="32:34" ht="13" x14ac:dyDescent="0.15">
      <c r="AF770" s="5"/>
      <c r="AH770" s="4"/>
    </row>
    <row r="771" spans="32:34" ht="13" x14ac:dyDescent="0.15">
      <c r="AF771" s="5"/>
      <c r="AH771" s="4"/>
    </row>
    <row r="772" spans="32:34" ht="13" x14ac:dyDescent="0.15">
      <c r="AF772" s="5"/>
      <c r="AH772" s="4"/>
    </row>
    <row r="773" spans="32:34" ht="13" x14ac:dyDescent="0.15">
      <c r="AF773" s="5"/>
      <c r="AH773" s="4"/>
    </row>
    <row r="774" spans="32:34" ht="13" x14ac:dyDescent="0.15">
      <c r="AF774" s="5"/>
      <c r="AH774" s="4"/>
    </row>
    <row r="775" spans="32:34" ht="13" x14ac:dyDescent="0.15">
      <c r="AF775" s="5"/>
      <c r="AH775" s="4"/>
    </row>
    <row r="776" spans="32:34" ht="13" x14ac:dyDescent="0.15">
      <c r="AF776" s="5"/>
      <c r="AH776" s="4"/>
    </row>
    <row r="777" spans="32:34" ht="13" x14ac:dyDescent="0.15">
      <c r="AF777" s="5"/>
      <c r="AH777" s="4"/>
    </row>
    <row r="778" spans="32:34" ht="13" x14ac:dyDescent="0.15">
      <c r="AF778" s="5"/>
      <c r="AH778" s="4"/>
    </row>
    <row r="779" spans="32:34" ht="13" x14ac:dyDescent="0.15">
      <c r="AF779" s="5"/>
      <c r="AH779" s="4"/>
    </row>
    <row r="780" spans="32:34" ht="13" x14ac:dyDescent="0.15">
      <c r="AF780" s="5"/>
      <c r="AH780" s="4"/>
    </row>
    <row r="781" spans="32:34" ht="13" x14ac:dyDescent="0.15">
      <c r="AF781" s="5"/>
      <c r="AH781" s="4"/>
    </row>
    <row r="782" spans="32:34" ht="13" x14ac:dyDescent="0.15">
      <c r="AF782" s="5"/>
      <c r="AH782" s="4"/>
    </row>
    <row r="783" spans="32:34" ht="13" x14ac:dyDescent="0.15">
      <c r="AF783" s="5"/>
      <c r="AH783" s="4"/>
    </row>
    <row r="784" spans="32:34" ht="13" x14ac:dyDescent="0.15">
      <c r="AF784" s="5"/>
      <c r="AH784" s="4"/>
    </row>
    <row r="785" spans="32:34" ht="13" x14ac:dyDescent="0.15">
      <c r="AF785" s="5"/>
      <c r="AH785" s="4"/>
    </row>
    <row r="786" spans="32:34" ht="13" x14ac:dyDescent="0.15">
      <c r="AF786" s="5"/>
      <c r="AH786" s="4"/>
    </row>
    <row r="787" spans="32:34" ht="13" x14ac:dyDescent="0.15">
      <c r="AF787" s="5"/>
      <c r="AH787" s="4"/>
    </row>
    <row r="788" spans="32:34" ht="13" x14ac:dyDescent="0.15">
      <c r="AF788" s="5"/>
      <c r="AH788" s="4"/>
    </row>
    <row r="789" spans="32:34" ht="13" x14ac:dyDescent="0.15">
      <c r="AF789" s="5"/>
      <c r="AH789" s="4"/>
    </row>
    <row r="790" spans="32:34" ht="13" x14ac:dyDescent="0.15">
      <c r="AF790" s="5"/>
      <c r="AH790" s="4"/>
    </row>
    <row r="791" spans="32:34" ht="13" x14ac:dyDescent="0.15">
      <c r="AF791" s="5"/>
      <c r="AH791" s="4"/>
    </row>
    <row r="792" spans="32:34" ht="13" x14ac:dyDescent="0.15">
      <c r="AF792" s="5"/>
      <c r="AH792" s="4"/>
    </row>
    <row r="793" spans="32:34" ht="13" x14ac:dyDescent="0.15">
      <c r="AF793" s="5"/>
      <c r="AH793" s="4"/>
    </row>
    <row r="794" spans="32:34" ht="13" x14ac:dyDescent="0.15">
      <c r="AF794" s="5"/>
      <c r="AH794" s="4"/>
    </row>
    <row r="795" spans="32:34" ht="13" x14ac:dyDescent="0.15">
      <c r="AF795" s="5"/>
      <c r="AH795" s="4"/>
    </row>
    <row r="796" spans="32:34" ht="13" x14ac:dyDescent="0.15">
      <c r="AF796" s="5"/>
      <c r="AH796" s="4"/>
    </row>
    <row r="797" spans="32:34" ht="13" x14ac:dyDescent="0.15">
      <c r="AF797" s="5"/>
      <c r="AH797" s="4"/>
    </row>
    <row r="798" spans="32:34" ht="13" x14ac:dyDescent="0.15">
      <c r="AF798" s="5"/>
      <c r="AH798" s="4"/>
    </row>
    <row r="799" spans="32:34" ht="13" x14ac:dyDescent="0.15">
      <c r="AF799" s="5"/>
      <c r="AH799" s="4"/>
    </row>
    <row r="800" spans="32:34" ht="13" x14ac:dyDescent="0.15">
      <c r="AF800" s="5"/>
      <c r="AH800" s="4"/>
    </row>
    <row r="801" spans="32:34" ht="13" x14ac:dyDescent="0.15">
      <c r="AF801" s="5"/>
      <c r="AH801" s="4"/>
    </row>
    <row r="802" spans="32:34" ht="13" x14ac:dyDescent="0.15">
      <c r="AF802" s="5"/>
      <c r="AH802" s="4"/>
    </row>
    <row r="803" spans="32:34" ht="13" x14ac:dyDescent="0.15">
      <c r="AF803" s="5"/>
      <c r="AH803" s="4"/>
    </row>
    <row r="804" spans="32:34" ht="13" x14ac:dyDescent="0.15">
      <c r="AF804" s="5"/>
      <c r="AH804" s="4"/>
    </row>
    <row r="805" spans="32:34" ht="13" x14ac:dyDescent="0.15">
      <c r="AF805" s="5"/>
      <c r="AH805" s="4"/>
    </row>
    <row r="806" spans="32:34" ht="13" x14ac:dyDescent="0.15">
      <c r="AF806" s="5"/>
      <c r="AH806" s="4"/>
    </row>
    <row r="807" spans="32:34" ht="13" x14ac:dyDescent="0.15">
      <c r="AF807" s="5"/>
      <c r="AH807" s="4"/>
    </row>
    <row r="808" spans="32:34" ht="13" x14ac:dyDescent="0.15">
      <c r="AF808" s="5"/>
      <c r="AH808" s="4"/>
    </row>
    <row r="809" spans="32:34" ht="13" x14ac:dyDescent="0.15">
      <c r="AF809" s="5"/>
      <c r="AH809" s="4"/>
    </row>
    <row r="810" spans="32:34" ht="13" x14ac:dyDescent="0.15">
      <c r="AF810" s="5"/>
      <c r="AH810" s="4"/>
    </row>
    <row r="811" spans="32:34" ht="13" x14ac:dyDescent="0.15">
      <c r="AF811" s="5"/>
      <c r="AH811" s="4"/>
    </row>
    <row r="812" spans="32:34" ht="13" x14ac:dyDescent="0.15">
      <c r="AF812" s="5"/>
      <c r="AH812" s="4"/>
    </row>
    <row r="813" spans="32:34" ht="13" x14ac:dyDescent="0.15">
      <c r="AF813" s="5"/>
      <c r="AH813" s="4"/>
    </row>
    <row r="814" spans="32:34" ht="13" x14ac:dyDescent="0.15">
      <c r="AF814" s="5"/>
      <c r="AH814" s="4"/>
    </row>
    <row r="815" spans="32:34" ht="13" x14ac:dyDescent="0.15">
      <c r="AF815" s="5"/>
      <c r="AH815" s="4"/>
    </row>
    <row r="816" spans="32:34" ht="13" x14ac:dyDescent="0.15">
      <c r="AF816" s="5"/>
      <c r="AH816" s="4"/>
    </row>
    <row r="817" spans="32:34" ht="13" x14ac:dyDescent="0.15">
      <c r="AF817" s="5"/>
      <c r="AH817" s="4"/>
    </row>
    <row r="818" spans="32:34" ht="13" x14ac:dyDescent="0.15">
      <c r="AF818" s="5"/>
      <c r="AH818" s="4"/>
    </row>
    <row r="819" spans="32:34" ht="13" x14ac:dyDescent="0.15">
      <c r="AF819" s="5"/>
      <c r="AH819" s="4"/>
    </row>
    <row r="820" spans="32:34" ht="13" x14ac:dyDescent="0.15">
      <c r="AF820" s="5"/>
      <c r="AH820" s="4"/>
    </row>
    <row r="821" spans="32:34" ht="13" x14ac:dyDescent="0.15">
      <c r="AF821" s="5"/>
      <c r="AH821" s="4"/>
    </row>
    <row r="822" spans="32:34" ht="13" x14ac:dyDescent="0.15">
      <c r="AF822" s="5"/>
      <c r="AH822" s="4"/>
    </row>
    <row r="823" spans="32:34" ht="13" x14ac:dyDescent="0.15">
      <c r="AF823" s="5"/>
      <c r="AH823" s="4"/>
    </row>
    <row r="824" spans="32:34" ht="13" x14ac:dyDescent="0.15">
      <c r="AF824" s="5"/>
      <c r="AH824" s="4"/>
    </row>
    <row r="825" spans="32:34" ht="13" x14ac:dyDescent="0.15">
      <c r="AF825" s="5"/>
      <c r="AH825" s="4"/>
    </row>
    <row r="826" spans="32:34" ht="13" x14ac:dyDescent="0.15">
      <c r="AF826" s="5"/>
      <c r="AH826" s="4"/>
    </row>
    <row r="827" spans="32:34" ht="13" x14ac:dyDescent="0.15">
      <c r="AF827" s="5"/>
      <c r="AH827" s="4"/>
    </row>
    <row r="828" spans="32:34" ht="13" x14ac:dyDescent="0.15">
      <c r="AF828" s="5"/>
      <c r="AH828" s="4"/>
    </row>
    <row r="829" spans="32:34" ht="13" x14ac:dyDescent="0.15">
      <c r="AF829" s="5"/>
      <c r="AH829" s="4"/>
    </row>
    <row r="830" spans="32:34" ht="13" x14ac:dyDescent="0.15">
      <c r="AF830" s="5"/>
      <c r="AH830" s="4"/>
    </row>
    <row r="831" spans="32:34" ht="13" x14ac:dyDescent="0.15">
      <c r="AF831" s="5"/>
      <c r="AH831" s="4"/>
    </row>
    <row r="832" spans="32:34" ht="13" x14ac:dyDescent="0.15">
      <c r="AF832" s="5"/>
      <c r="AH832" s="4"/>
    </row>
    <row r="833" spans="32:34" ht="13" x14ac:dyDescent="0.15">
      <c r="AF833" s="5"/>
      <c r="AH833" s="4"/>
    </row>
    <row r="834" spans="32:34" ht="13" x14ac:dyDescent="0.15">
      <c r="AF834" s="5"/>
      <c r="AH834" s="4"/>
    </row>
    <row r="835" spans="32:34" ht="13" x14ac:dyDescent="0.15">
      <c r="AF835" s="5"/>
      <c r="AH835" s="4"/>
    </row>
    <row r="836" spans="32:34" ht="13" x14ac:dyDescent="0.15">
      <c r="AF836" s="5"/>
      <c r="AH836" s="4"/>
    </row>
    <row r="837" spans="32:34" ht="13" x14ac:dyDescent="0.15">
      <c r="AF837" s="5"/>
      <c r="AH837" s="4"/>
    </row>
    <row r="838" spans="32:34" ht="13" x14ac:dyDescent="0.15">
      <c r="AF838" s="5"/>
      <c r="AH838" s="4"/>
    </row>
    <row r="839" spans="32:34" ht="13" x14ac:dyDescent="0.15">
      <c r="AF839" s="5"/>
      <c r="AH839" s="4"/>
    </row>
    <row r="840" spans="32:34" ht="13" x14ac:dyDescent="0.15">
      <c r="AF840" s="5"/>
      <c r="AH840" s="4"/>
    </row>
    <row r="841" spans="32:34" ht="13" x14ac:dyDescent="0.15">
      <c r="AF841" s="5"/>
      <c r="AH841" s="4"/>
    </row>
    <row r="842" spans="32:34" ht="13" x14ac:dyDescent="0.15">
      <c r="AF842" s="5"/>
      <c r="AH842" s="4"/>
    </row>
    <row r="843" spans="32:34" ht="13" x14ac:dyDescent="0.15">
      <c r="AF843" s="5"/>
      <c r="AH843" s="4"/>
    </row>
    <row r="844" spans="32:34" ht="13" x14ac:dyDescent="0.15">
      <c r="AF844" s="5"/>
      <c r="AH844" s="4"/>
    </row>
    <row r="845" spans="32:34" ht="13" x14ac:dyDescent="0.15">
      <c r="AF845" s="5"/>
      <c r="AH845" s="4"/>
    </row>
    <row r="846" spans="32:34" ht="13" x14ac:dyDescent="0.15">
      <c r="AF846" s="5"/>
      <c r="AH846" s="4"/>
    </row>
    <row r="847" spans="32:34" ht="13" x14ac:dyDescent="0.15">
      <c r="AF847" s="5"/>
      <c r="AH847" s="4"/>
    </row>
    <row r="848" spans="32:34" ht="13" x14ac:dyDescent="0.15">
      <c r="AF848" s="5"/>
      <c r="AH848" s="4"/>
    </row>
    <row r="849" spans="32:34" ht="13" x14ac:dyDescent="0.15">
      <c r="AF849" s="5"/>
      <c r="AH849" s="4"/>
    </row>
    <row r="850" spans="32:34" ht="13" x14ac:dyDescent="0.15">
      <c r="AF850" s="5"/>
      <c r="AH850" s="4"/>
    </row>
    <row r="851" spans="32:34" ht="13" x14ac:dyDescent="0.15">
      <c r="AF851" s="5"/>
      <c r="AH851" s="4"/>
    </row>
    <row r="852" spans="32:34" ht="13" x14ac:dyDescent="0.15">
      <c r="AF852" s="5"/>
      <c r="AH852" s="4"/>
    </row>
    <row r="853" spans="32:34" ht="13" x14ac:dyDescent="0.15">
      <c r="AF853" s="5"/>
      <c r="AH853" s="4"/>
    </row>
    <row r="854" spans="32:34" ht="13" x14ac:dyDescent="0.15">
      <c r="AF854" s="5"/>
      <c r="AH854" s="4"/>
    </row>
    <row r="855" spans="32:34" ht="13" x14ac:dyDescent="0.15">
      <c r="AF855" s="5"/>
      <c r="AH855" s="4"/>
    </row>
    <row r="856" spans="32:34" ht="13" x14ac:dyDescent="0.15">
      <c r="AF856" s="5"/>
      <c r="AH856" s="4"/>
    </row>
    <row r="857" spans="32:34" ht="13" x14ac:dyDescent="0.15">
      <c r="AF857" s="5"/>
      <c r="AH857" s="4"/>
    </row>
    <row r="858" spans="32:34" ht="13" x14ac:dyDescent="0.15">
      <c r="AF858" s="5"/>
      <c r="AH858" s="4"/>
    </row>
    <row r="859" spans="32:34" ht="13" x14ac:dyDescent="0.15">
      <c r="AF859" s="5"/>
      <c r="AH859" s="4"/>
    </row>
    <row r="860" spans="32:34" ht="13" x14ac:dyDescent="0.15">
      <c r="AF860" s="5"/>
      <c r="AH860" s="4"/>
    </row>
    <row r="861" spans="32:34" ht="13" x14ac:dyDescent="0.15">
      <c r="AF861" s="5"/>
      <c r="AH861" s="4"/>
    </row>
    <row r="862" spans="32:34" ht="13" x14ac:dyDescent="0.15">
      <c r="AF862" s="5"/>
      <c r="AH862" s="4"/>
    </row>
    <row r="863" spans="32:34" ht="13" x14ac:dyDescent="0.15">
      <c r="AF863" s="5"/>
      <c r="AH863" s="4"/>
    </row>
    <row r="864" spans="32:34" ht="13" x14ac:dyDescent="0.15">
      <c r="AF864" s="5"/>
      <c r="AH864" s="4"/>
    </row>
    <row r="865" spans="32:34" ht="13" x14ac:dyDescent="0.15">
      <c r="AF865" s="5"/>
      <c r="AH865" s="4"/>
    </row>
    <row r="866" spans="32:34" ht="13" x14ac:dyDescent="0.15">
      <c r="AF866" s="5"/>
      <c r="AH866" s="4"/>
    </row>
    <row r="867" spans="32:34" ht="13" x14ac:dyDescent="0.15">
      <c r="AF867" s="5"/>
      <c r="AH867" s="4"/>
    </row>
    <row r="868" spans="32:34" ht="13" x14ac:dyDescent="0.15">
      <c r="AF868" s="5"/>
      <c r="AH868" s="4"/>
    </row>
    <row r="869" spans="32:34" ht="13" x14ac:dyDescent="0.15">
      <c r="AF869" s="5"/>
      <c r="AH869" s="4"/>
    </row>
    <row r="870" spans="32:34" ht="13" x14ac:dyDescent="0.15">
      <c r="AF870" s="5"/>
      <c r="AH870" s="4"/>
    </row>
    <row r="871" spans="32:34" ht="13" x14ac:dyDescent="0.15">
      <c r="AF871" s="5"/>
      <c r="AH871" s="4"/>
    </row>
    <row r="872" spans="32:34" ht="13" x14ac:dyDescent="0.15">
      <c r="AF872" s="5"/>
      <c r="AH872" s="4"/>
    </row>
    <row r="873" spans="32:34" ht="13" x14ac:dyDescent="0.15">
      <c r="AF873" s="5"/>
      <c r="AH873" s="4"/>
    </row>
    <row r="874" spans="32:34" ht="13" x14ac:dyDescent="0.15">
      <c r="AF874" s="5"/>
      <c r="AH874" s="4"/>
    </row>
    <row r="875" spans="32:34" ht="13" x14ac:dyDescent="0.15">
      <c r="AF875" s="5"/>
      <c r="AH875" s="4"/>
    </row>
    <row r="876" spans="32:34" ht="13" x14ac:dyDescent="0.15">
      <c r="AF876" s="5"/>
      <c r="AH876" s="4"/>
    </row>
    <row r="877" spans="32:34" ht="13" x14ac:dyDescent="0.15">
      <c r="AF877" s="5"/>
      <c r="AH877" s="4"/>
    </row>
    <row r="878" spans="32:34" ht="13" x14ac:dyDescent="0.15">
      <c r="AF878" s="5"/>
      <c r="AH878" s="4"/>
    </row>
    <row r="879" spans="32:34" ht="13" x14ac:dyDescent="0.15">
      <c r="AF879" s="5"/>
      <c r="AH879" s="4"/>
    </row>
    <row r="880" spans="32:34" ht="13" x14ac:dyDescent="0.15">
      <c r="AF880" s="5"/>
      <c r="AH880" s="4"/>
    </row>
    <row r="881" spans="32:34" ht="13" x14ac:dyDescent="0.15">
      <c r="AF881" s="5"/>
      <c r="AH881" s="4"/>
    </row>
    <row r="882" spans="32:34" ht="13" x14ac:dyDescent="0.15">
      <c r="AF882" s="5"/>
      <c r="AH882" s="4"/>
    </row>
    <row r="883" spans="32:34" ht="13" x14ac:dyDescent="0.15">
      <c r="AF883" s="5"/>
      <c r="AH883" s="4"/>
    </row>
    <row r="884" spans="32:34" ht="13" x14ac:dyDescent="0.15">
      <c r="AF884" s="5"/>
      <c r="AH884" s="4"/>
    </row>
    <row r="885" spans="32:34" ht="13" x14ac:dyDescent="0.15">
      <c r="AF885" s="5"/>
      <c r="AH885" s="4"/>
    </row>
    <row r="886" spans="32:34" ht="13" x14ac:dyDescent="0.15">
      <c r="AF886" s="5"/>
      <c r="AH886" s="4"/>
    </row>
    <row r="887" spans="32:34" ht="13" x14ac:dyDescent="0.15">
      <c r="AF887" s="5"/>
      <c r="AH887" s="4"/>
    </row>
    <row r="888" spans="32:34" ht="13" x14ac:dyDescent="0.15">
      <c r="AF888" s="5"/>
      <c r="AH888" s="4"/>
    </row>
    <row r="889" spans="32:34" ht="13" x14ac:dyDescent="0.15">
      <c r="AF889" s="5"/>
      <c r="AH889" s="4"/>
    </row>
    <row r="890" spans="32:34" ht="13" x14ac:dyDescent="0.15">
      <c r="AF890" s="5"/>
      <c r="AH890" s="4"/>
    </row>
    <row r="891" spans="32:34" ht="13" x14ac:dyDescent="0.15">
      <c r="AF891" s="5"/>
      <c r="AH891" s="4"/>
    </row>
    <row r="892" spans="32:34" ht="13" x14ac:dyDescent="0.15">
      <c r="AF892" s="5"/>
      <c r="AH892" s="4"/>
    </row>
    <row r="893" spans="32:34" ht="13" x14ac:dyDescent="0.15">
      <c r="AF893" s="5"/>
      <c r="AH893" s="4"/>
    </row>
    <row r="894" spans="32:34" ht="13" x14ac:dyDescent="0.15">
      <c r="AF894" s="5"/>
      <c r="AH894" s="4"/>
    </row>
    <row r="895" spans="32:34" ht="13" x14ac:dyDescent="0.15">
      <c r="AF895" s="5"/>
      <c r="AH895" s="4"/>
    </row>
    <row r="896" spans="32:34" ht="13" x14ac:dyDescent="0.15">
      <c r="AF896" s="5"/>
      <c r="AH896" s="4"/>
    </row>
    <row r="897" spans="32:34" ht="13" x14ac:dyDescent="0.15">
      <c r="AF897" s="5"/>
      <c r="AH897" s="4"/>
    </row>
    <row r="898" spans="32:34" ht="13" x14ac:dyDescent="0.15">
      <c r="AF898" s="5"/>
      <c r="AH898" s="4"/>
    </row>
    <row r="899" spans="32:34" ht="13" x14ac:dyDescent="0.15">
      <c r="AF899" s="5"/>
      <c r="AH899" s="4"/>
    </row>
    <row r="900" spans="32:34" ht="13" x14ac:dyDescent="0.15">
      <c r="AF900" s="5"/>
      <c r="AH900" s="4"/>
    </row>
    <row r="901" spans="32:34" ht="13" x14ac:dyDescent="0.15">
      <c r="AF901" s="5"/>
      <c r="AH901" s="4"/>
    </row>
    <row r="902" spans="32:34" ht="13" x14ac:dyDescent="0.15">
      <c r="AF902" s="5"/>
      <c r="AH902" s="4"/>
    </row>
    <row r="903" spans="32:34" ht="13" x14ac:dyDescent="0.15">
      <c r="AF903" s="5"/>
      <c r="AH903" s="4"/>
    </row>
    <row r="904" spans="32:34" ht="13" x14ac:dyDescent="0.15">
      <c r="AF904" s="5"/>
      <c r="AH904" s="4"/>
    </row>
    <row r="905" spans="32:34" ht="13" x14ac:dyDescent="0.15">
      <c r="AF905" s="5"/>
      <c r="AH905" s="4"/>
    </row>
    <row r="906" spans="32:34" ht="13" x14ac:dyDescent="0.15">
      <c r="AF906" s="5"/>
      <c r="AH906" s="4"/>
    </row>
    <row r="907" spans="32:34" ht="13" x14ac:dyDescent="0.15">
      <c r="AF907" s="5"/>
      <c r="AH907" s="4"/>
    </row>
    <row r="908" spans="32:34" ht="13" x14ac:dyDescent="0.15">
      <c r="AF908" s="5"/>
      <c r="AH908" s="4"/>
    </row>
    <row r="909" spans="32:34" ht="13" x14ac:dyDescent="0.15">
      <c r="AF909" s="5"/>
      <c r="AH909" s="4"/>
    </row>
    <row r="910" spans="32:34" ht="13" x14ac:dyDescent="0.15">
      <c r="AF910" s="5"/>
      <c r="AH910" s="4"/>
    </row>
    <row r="911" spans="32:34" ht="13" x14ac:dyDescent="0.15">
      <c r="AF911" s="5"/>
      <c r="AH911" s="4"/>
    </row>
    <row r="912" spans="32:34" ht="13" x14ac:dyDescent="0.15">
      <c r="AF912" s="5"/>
      <c r="AH912" s="4"/>
    </row>
    <row r="913" spans="32:34" ht="13" x14ac:dyDescent="0.15">
      <c r="AF913" s="5"/>
      <c r="AH913" s="4"/>
    </row>
    <row r="914" spans="32:34" ht="13" x14ac:dyDescent="0.15">
      <c r="AF914" s="5"/>
      <c r="AH914" s="4"/>
    </row>
    <row r="915" spans="32:34" ht="13" x14ac:dyDescent="0.15">
      <c r="AF915" s="5"/>
      <c r="AH915" s="4"/>
    </row>
    <row r="916" spans="32:34" ht="13" x14ac:dyDescent="0.15">
      <c r="AF916" s="5"/>
      <c r="AH916" s="4"/>
    </row>
    <row r="917" spans="32:34" ht="13" x14ac:dyDescent="0.15">
      <c r="AF917" s="5"/>
      <c r="AH917" s="4"/>
    </row>
    <row r="918" spans="32:34" ht="13" x14ac:dyDescent="0.15">
      <c r="AF918" s="5"/>
      <c r="AH918" s="4"/>
    </row>
    <row r="919" spans="32:34" ht="13" x14ac:dyDescent="0.15">
      <c r="AF919" s="5"/>
      <c r="AH919" s="4"/>
    </row>
    <row r="920" spans="32:34" ht="13" x14ac:dyDescent="0.15">
      <c r="AF920" s="5"/>
      <c r="AH920" s="4"/>
    </row>
    <row r="921" spans="32:34" ht="13" x14ac:dyDescent="0.15">
      <c r="AF921" s="5"/>
      <c r="AH921" s="4"/>
    </row>
    <row r="922" spans="32:34" ht="13" x14ac:dyDescent="0.15">
      <c r="AF922" s="5"/>
      <c r="AH922" s="4"/>
    </row>
    <row r="923" spans="32:34" ht="13" x14ac:dyDescent="0.15">
      <c r="AF923" s="5"/>
      <c r="AH923" s="4"/>
    </row>
    <row r="924" spans="32:34" ht="13" x14ac:dyDescent="0.15">
      <c r="AF924" s="5"/>
      <c r="AH924" s="4"/>
    </row>
    <row r="925" spans="32:34" ht="13" x14ac:dyDescent="0.15">
      <c r="AF925" s="5"/>
      <c r="AH925" s="4"/>
    </row>
    <row r="926" spans="32:34" ht="13" x14ac:dyDescent="0.15">
      <c r="AF926" s="5"/>
      <c r="AH926" s="4"/>
    </row>
    <row r="927" spans="32:34" ht="13" x14ac:dyDescent="0.15">
      <c r="AF927" s="5"/>
      <c r="AH927" s="4"/>
    </row>
    <row r="928" spans="32:34" ht="13" x14ac:dyDescent="0.15">
      <c r="AF928" s="5"/>
      <c r="AH928" s="4"/>
    </row>
    <row r="929" spans="32:34" ht="13" x14ac:dyDescent="0.15">
      <c r="AF929" s="5"/>
      <c r="AH929" s="4"/>
    </row>
    <row r="930" spans="32:34" ht="13" x14ac:dyDescent="0.15">
      <c r="AF930" s="5"/>
      <c r="AH930" s="4"/>
    </row>
    <row r="931" spans="32:34" ht="13" x14ac:dyDescent="0.15">
      <c r="AF931" s="5"/>
      <c r="AH931" s="4"/>
    </row>
    <row r="932" spans="32:34" ht="13" x14ac:dyDescent="0.15">
      <c r="AF932" s="5"/>
      <c r="AH932" s="4"/>
    </row>
    <row r="933" spans="32:34" ht="13" x14ac:dyDescent="0.15">
      <c r="AF933" s="5"/>
      <c r="AH933" s="4"/>
    </row>
    <row r="934" spans="32:34" ht="13" x14ac:dyDescent="0.15">
      <c r="AF934" s="5"/>
      <c r="AH934" s="4"/>
    </row>
    <row r="935" spans="32:34" ht="13" x14ac:dyDescent="0.15">
      <c r="AF935" s="5"/>
      <c r="AH935" s="4"/>
    </row>
    <row r="936" spans="32:34" ht="13" x14ac:dyDescent="0.15">
      <c r="AF936" s="5"/>
      <c r="AH936" s="4"/>
    </row>
    <row r="937" spans="32:34" ht="13" x14ac:dyDescent="0.15">
      <c r="AF937" s="5"/>
      <c r="AH937" s="4"/>
    </row>
    <row r="938" spans="32:34" ht="13" x14ac:dyDescent="0.15">
      <c r="AF938" s="5"/>
      <c r="AH938" s="4"/>
    </row>
    <row r="939" spans="32:34" ht="13" x14ac:dyDescent="0.15">
      <c r="AF939" s="5"/>
      <c r="AH939" s="4"/>
    </row>
    <row r="940" spans="32:34" ht="13" x14ac:dyDescent="0.15">
      <c r="AF940" s="5"/>
      <c r="AH940" s="4"/>
    </row>
    <row r="941" spans="32:34" ht="13" x14ac:dyDescent="0.15">
      <c r="AF941" s="5"/>
      <c r="AH941" s="4"/>
    </row>
    <row r="942" spans="32:34" ht="13" x14ac:dyDescent="0.15">
      <c r="AF942" s="5"/>
      <c r="AH942" s="4"/>
    </row>
    <row r="943" spans="32:34" ht="13" x14ac:dyDescent="0.15">
      <c r="AF943" s="5"/>
      <c r="AH943" s="4"/>
    </row>
    <row r="944" spans="32:34" ht="13" x14ac:dyDescent="0.15">
      <c r="AF944" s="5"/>
      <c r="AH944" s="4"/>
    </row>
    <row r="945" spans="32:34" ht="13" x14ac:dyDescent="0.15">
      <c r="AF945" s="5"/>
      <c r="AH945" s="4"/>
    </row>
    <row r="946" spans="32:34" ht="13" x14ac:dyDescent="0.15">
      <c r="AF946" s="5"/>
      <c r="AH946" s="4"/>
    </row>
    <row r="947" spans="32:34" ht="13" x14ac:dyDescent="0.15">
      <c r="AF947" s="5"/>
      <c r="AH947" s="4"/>
    </row>
    <row r="948" spans="32:34" ht="13" x14ac:dyDescent="0.15">
      <c r="AF948" s="5"/>
      <c r="AH948" s="4"/>
    </row>
    <row r="949" spans="32:34" ht="13" x14ac:dyDescent="0.15">
      <c r="AF949" s="5"/>
      <c r="AH949" s="4"/>
    </row>
    <row r="950" spans="32:34" ht="13" x14ac:dyDescent="0.15">
      <c r="AF950" s="5"/>
      <c r="AH950" s="4"/>
    </row>
    <row r="951" spans="32:34" ht="13" x14ac:dyDescent="0.15">
      <c r="AF951" s="5"/>
      <c r="AH951" s="4"/>
    </row>
    <row r="952" spans="32:34" ht="13" x14ac:dyDescent="0.15">
      <c r="AF952" s="5"/>
      <c r="AH952" s="4"/>
    </row>
    <row r="953" spans="32:34" ht="13" x14ac:dyDescent="0.15">
      <c r="AF953" s="5"/>
      <c r="AH953" s="4"/>
    </row>
    <row r="954" spans="32:34" ht="13" x14ac:dyDescent="0.15">
      <c r="AF954" s="5"/>
      <c r="AH954" s="4"/>
    </row>
    <row r="955" spans="32:34" ht="13" x14ac:dyDescent="0.15">
      <c r="AF955" s="5"/>
      <c r="AH955" s="4"/>
    </row>
    <row r="956" spans="32:34" ht="13" x14ac:dyDescent="0.15">
      <c r="AF956" s="5"/>
      <c r="AH956" s="4"/>
    </row>
    <row r="957" spans="32:34" ht="13" x14ac:dyDescent="0.15">
      <c r="AF957" s="5"/>
      <c r="AH957" s="4"/>
    </row>
    <row r="958" spans="32:34" ht="13" x14ac:dyDescent="0.15">
      <c r="AF958" s="5"/>
      <c r="AH958" s="4"/>
    </row>
    <row r="959" spans="32:34" ht="13" x14ac:dyDescent="0.15">
      <c r="AF959" s="5"/>
      <c r="AH959" s="4"/>
    </row>
    <row r="960" spans="32:34" ht="13" x14ac:dyDescent="0.15">
      <c r="AF960" s="5"/>
      <c r="AH960" s="4"/>
    </row>
    <row r="961" spans="32:34" ht="13" x14ac:dyDescent="0.15">
      <c r="AF961" s="5"/>
      <c r="AH961" s="4"/>
    </row>
    <row r="962" spans="32:34" ht="13" x14ac:dyDescent="0.15">
      <c r="AF962" s="5"/>
      <c r="AH962" s="4"/>
    </row>
    <row r="963" spans="32:34" ht="13" x14ac:dyDescent="0.15">
      <c r="AF963" s="5"/>
      <c r="AH963" s="4"/>
    </row>
    <row r="964" spans="32:34" ht="13" x14ac:dyDescent="0.15">
      <c r="AF964" s="5"/>
      <c r="AH964" s="4"/>
    </row>
    <row r="965" spans="32:34" ht="13" x14ac:dyDescent="0.15">
      <c r="AF965" s="5"/>
      <c r="AH965" s="4"/>
    </row>
    <row r="966" spans="32:34" ht="13" x14ac:dyDescent="0.15">
      <c r="AF966" s="5"/>
      <c r="AH966" s="4"/>
    </row>
    <row r="967" spans="32:34" ht="13" x14ac:dyDescent="0.15">
      <c r="AF967" s="5"/>
      <c r="AH967" s="4"/>
    </row>
    <row r="968" spans="32:34" ht="13" x14ac:dyDescent="0.15">
      <c r="AF968" s="5"/>
      <c r="AH968" s="4"/>
    </row>
    <row r="969" spans="32:34" ht="13" x14ac:dyDescent="0.15">
      <c r="AF969" s="5"/>
      <c r="AH969" s="4"/>
    </row>
    <row r="970" spans="32:34" ht="13" x14ac:dyDescent="0.15">
      <c r="AF970" s="5"/>
      <c r="AH970" s="4"/>
    </row>
    <row r="971" spans="32:34" ht="13" x14ac:dyDescent="0.15">
      <c r="AF971" s="5"/>
      <c r="AH971" s="4"/>
    </row>
    <row r="972" spans="32:34" ht="13" x14ac:dyDescent="0.15">
      <c r="AF972" s="5"/>
      <c r="AH972" s="4"/>
    </row>
    <row r="973" spans="32:34" ht="13" x14ac:dyDescent="0.15">
      <c r="AF973" s="5"/>
      <c r="AH973" s="4"/>
    </row>
    <row r="974" spans="32:34" ht="13" x14ac:dyDescent="0.15">
      <c r="AF974" s="5"/>
      <c r="AH974" s="4"/>
    </row>
    <row r="975" spans="32:34" ht="13" x14ac:dyDescent="0.15">
      <c r="AF975" s="5"/>
      <c r="AH975" s="4"/>
    </row>
    <row r="976" spans="32:34" ht="13" x14ac:dyDescent="0.15">
      <c r="AF976" s="5"/>
      <c r="AH976" s="4"/>
    </row>
    <row r="977" spans="32:34" ht="13" x14ac:dyDescent="0.15">
      <c r="AF977" s="5"/>
      <c r="AH977" s="4"/>
    </row>
    <row r="978" spans="32:34" ht="13" x14ac:dyDescent="0.15">
      <c r="AF978" s="5"/>
      <c r="AH978" s="4"/>
    </row>
    <row r="979" spans="32:34" ht="13" x14ac:dyDescent="0.15">
      <c r="AF979" s="5"/>
      <c r="AH979" s="4"/>
    </row>
    <row r="980" spans="32:34" ht="13" x14ac:dyDescent="0.15">
      <c r="AF980" s="5"/>
      <c r="AH980" s="4"/>
    </row>
    <row r="981" spans="32:34" ht="13" x14ac:dyDescent="0.15">
      <c r="AF981" s="5"/>
      <c r="AH981" s="4"/>
    </row>
    <row r="982" spans="32:34" ht="13" x14ac:dyDescent="0.15">
      <c r="AF982" s="5"/>
      <c r="AH982" s="4"/>
    </row>
    <row r="983" spans="32:34" ht="13" x14ac:dyDescent="0.15">
      <c r="AF983" s="5"/>
      <c r="AH983" s="4"/>
    </row>
    <row r="984" spans="32:34" ht="13" x14ac:dyDescent="0.15">
      <c r="AF984" s="5"/>
      <c r="AH984" s="4"/>
    </row>
    <row r="985" spans="32:34" ht="13" x14ac:dyDescent="0.15">
      <c r="AF985" s="5"/>
      <c r="AH985" s="4"/>
    </row>
    <row r="986" spans="32:34" ht="13" x14ac:dyDescent="0.15">
      <c r="AF986" s="5"/>
      <c r="AH986" s="4"/>
    </row>
    <row r="987" spans="32:34" ht="13" x14ac:dyDescent="0.15">
      <c r="AF987" s="5"/>
      <c r="AH987" s="4"/>
    </row>
    <row r="988" spans="32:34" ht="13" x14ac:dyDescent="0.15">
      <c r="AF988" s="5"/>
      <c r="AH988" s="4"/>
    </row>
    <row r="989" spans="32:34" ht="13" x14ac:dyDescent="0.15">
      <c r="AF989" s="5"/>
      <c r="AH989" s="4"/>
    </row>
    <row r="990" spans="32:34" ht="13" x14ac:dyDescent="0.15">
      <c r="AF990" s="5"/>
      <c r="AH990" s="4"/>
    </row>
    <row r="991" spans="32:34" ht="13" x14ac:dyDescent="0.15">
      <c r="AF991" s="5"/>
      <c r="AH991" s="4"/>
    </row>
    <row r="992" spans="32:34" ht="13" x14ac:dyDescent="0.15">
      <c r="AF992" s="5"/>
      <c r="AH992" s="4"/>
    </row>
    <row r="993" spans="32:34" ht="13" x14ac:dyDescent="0.15">
      <c r="AF993" s="5"/>
      <c r="AH993" s="4"/>
    </row>
    <row r="994" spans="32:34" ht="13" x14ac:dyDescent="0.15">
      <c r="AF994" s="5"/>
      <c r="AH994" s="4"/>
    </row>
    <row r="995" spans="32:34" ht="13" x14ac:dyDescent="0.15">
      <c r="AF995" s="5"/>
      <c r="AH995" s="4"/>
    </row>
    <row r="996" spans="32:34" ht="13" x14ac:dyDescent="0.15">
      <c r="AF996" s="5"/>
      <c r="AH996" s="4"/>
    </row>
    <row r="997" spans="32:34" ht="13" x14ac:dyDescent="0.15">
      <c r="AF997" s="5"/>
      <c r="AH997" s="4"/>
    </row>
    <row r="998" spans="32:34" ht="13" x14ac:dyDescent="0.15">
      <c r="AF998" s="5"/>
      <c r="AH998" s="4"/>
    </row>
    <row r="999" spans="32:34" ht="13" x14ac:dyDescent="0.15">
      <c r="AF999" s="5"/>
      <c r="AH999" s="4"/>
    </row>
    <row r="1000" spans="32:34" ht="13" x14ac:dyDescent="0.15">
      <c r="AF1000" s="5"/>
      <c r="AH1000" s="4"/>
    </row>
    <row r="1001" spans="32:34" ht="13" x14ac:dyDescent="0.15">
      <c r="AF1001" s="5"/>
      <c r="AH1001" s="4"/>
    </row>
    <row r="1002" spans="32:34" ht="13" x14ac:dyDescent="0.15">
      <c r="AF1002" s="5"/>
      <c r="AH1002" s="4"/>
    </row>
    <row r="1003" spans="32:34" ht="13" x14ac:dyDescent="0.15">
      <c r="AF1003" s="5"/>
      <c r="AH1003" s="4"/>
    </row>
    <row r="1004" spans="32:34" ht="13" x14ac:dyDescent="0.15">
      <c r="AF1004" s="5"/>
      <c r="AH1004" s="4"/>
    </row>
    <row r="1005" spans="32:34" ht="13" x14ac:dyDescent="0.15">
      <c r="AF1005" s="5"/>
      <c r="AH1005" s="4"/>
    </row>
    <row r="1006" spans="32:34" ht="13" x14ac:dyDescent="0.15">
      <c r="AF1006" s="5"/>
      <c r="AH1006" s="4"/>
    </row>
    <row r="1007" spans="32:34" ht="13" x14ac:dyDescent="0.15">
      <c r="AF1007" s="5"/>
      <c r="AH1007" s="4"/>
    </row>
    <row r="1008" spans="32:34" ht="13" x14ac:dyDescent="0.15">
      <c r="AF1008" s="5"/>
      <c r="AH1008" s="4"/>
    </row>
    <row r="1009" spans="32:34" ht="13" x14ac:dyDescent="0.15">
      <c r="AF1009" s="5"/>
      <c r="AH1009" s="4"/>
    </row>
    <row r="1010" spans="32:34" ht="13" x14ac:dyDescent="0.15">
      <c r="AF1010" s="5"/>
      <c r="AH1010" s="4"/>
    </row>
    <row r="1011" spans="32:34" ht="13" x14ac:dyDescent="0.15">
      <c r="AF1011" s="5"/>
      <c r="AH1011" s="4"/>
    </row>
    <row r="1012" spans="32:34" ht="13" x14ac:dyDescent="0.15">
      <c r="AF1012" s="5"/>
      <c r="AH1012" s="4"/>
    </row>
    <row r="1013" spans="32:34" ht="13" x14ac:dyDescent="0.15">
      <c r="AF1013" s="5"/>
      <c r="AH1013" s="4"/>
    </row>
    <row r="1014" spans="32:34" ht="13" x14ac:dyDescent="0.15">
      <c r="AF1014" s="5"/>
      <c r="AH1014" s="4"/>
    </row>
    <row r="1015" spans="32:34" ht="13" x14ac:dyDescent="0.15">
      <c r="AF1015" s="5"/>
      <c r="AH1015" s="4"/>
    </row>
    <row r="1016" spans="32:34" ht="13" x14ac:dyDescent="0.15">
      <c r="AF1016" s="5"/>
      <c r="AH1016" s="4"/>
    </row>
    <row r="1017" spans="32:34" ht="13" x14ac:dyDescent="0.15">
      <c r="AF1017" s="5"/>
      <c r="AH1017" s="4"/>
    </row>
    <row r="1018" spans="32:34" ht="13" x14ac:dyDescent="0.15">
      <c r="AF1018" s="5"/>
      <c r="AH1018" s="4"/>
    </row>
    <row r="1019" spans="32:34" ht="13" x14ac:dyDescent="0.15">
      <c r="AF1019" s="5"/>
      <c r="AH1019" s="4"/>
    </row>
    <row r="1020" spans="32:34" ht="13" x14ac:dyDescent="0.15">
      <c r="AF1020" s="5"/>
      <c r="AH1020" s="4"/>
    </row>
    <row r="1021" spans="32:34" ht="13" x14ac:dyDescent="0.15">
      <c r="AF1021" s="5"/>
      <c r="AH1021" s="4"/>
    </row>
    <row r="1022" spans="32:34" ht="13" x14ac:dyDescent="0.15">
      <c r="AF1022" s="5"/>
      <c r="AH1022" s="4"/>
    </row>
    <row r="1023" spans="32:34" ht="13" x14ac:dyDescent="0.15">
      <c r="AF1023" s="5"/>
      <c r="AH1023" s="4"/>
    </row>
    <row r="1024" spans="32:34" ht="13" x14ac:dyDescent="0.15">
      <c r="AF1024" s="5"/>
      <c r="AH1024" s="4"/>
    </row>
    <row r="1025" spans="32:34" ht="13" x14ac:dyDescent="0.15">
      <c r="AF1025" s="5"/>
      <c r="AH1025" s="4"/>
    </row>
    <row r="1026" spans="32:34" ht="13" x14ac:dyDescent="0.15">
      <c r="AF1026" s="5"/>
      <c r="AH1026" s="4"/>
    </row>
    <row r="1027" spans="32:34" ht="13" x14ac:dyDescent="0.15">
      <c r="AF1027" s="5"/>
      <c r="AH1027" s="4"/>
    </row>
    <row r="1028" spans="32:34" ht="13" x14ac:dyDescent="0.15">
      <c r="AF1028" s="5"/>
      <c r="AH1028" s="4"/>
    </row>
    <row r="1029" spans="32:34" ht="13" x14ac:dyDescent="0.15">
      <c r="AF1029" s="5"/>
      <c r="AH1029" s="4"/>
    </row>
    <row r="1030" spans="32:34" ht="13" x14ac:dyDescent="0.15">
      <c r="AF1030" s="5"/>
      <c r="AH1030" s="4"/>
    </row>
    <row r="1031" spans="32:34" ht="13" x14ac:dyDescent="0.15">
      <c r="AF1031" s="5"/>
      <c r="AH1031" s="4"/>
    </row>
    <row r="1032" spans="32:34" ht="13" x14ac:dyDescent="0.15">
      <c r="AF1032" s="5"/>
      <c r="AH1032" s="4"/>
    </row>
    <row r="1033" spans="32:34" ht="13" x14ac:dyDescent="0.15">
      <c r="AF1033" s="5"/>
      <c r="AH1033" s="4"/>
    </row>
    <row r="1034" spans="32:34" ht="13" x14ac:dyDescent="0.15">
      <c r="AF1034" s="5"/>
      <c r="AH1034" s="4"/>
    </row>
    <row r="1035" spans="32:34" ht="13" x14ac:dyDescent="0.15">
      <c r="AF1035" s="5"/>
      <c r="AH1035" s="4"/>
    </row>
    <row r="1036" spans="32:34" ht="13" x14ac:dyDescent="0.15">
      <c r="AF1036" s="5"/>
      <c r="AH1036" s="4"/>
    </row>
    <row r="1037" spans="32:34" ht="13" x14ac:dyDescent="0.15">
      <c r="AF1037" s="5"/>
      <c r="AH1037" s="4"/>
    </row>
    <row r="1038" spans="32:34" ht="13" x14ac:dyDescent="0.15">
      <c r="AF1038" s="5"/>
      <c r="AH1038" s="4"/>
    </row>
    <row r="1039" spans="32:34" ht="13" x14ac:dyDescent="0.15">
      <c r="AF1039" s="5"/>
      <c r="AH1039" s="4"/>
    </row>
    <row r="1040" spans="32:34" ht="13" x14ac:dyDescent="0.15">
      <c r="AF1040" s="5"/>
      <c r="AH1040" s="4"/>
    </row>
    <row r="1041" spans="32:34" ht="13" x14ac:dyDescent="0.15">
      <c r="AF1041" s="5"/>
      <c r="AH1041" s="4"/>
    </row>
    <row r="1042" spans="32:34" ht="13" x14ac:dyDescent="0.15">
      <c r="AF1042" s="5"/>
      <c r="AH1042" s="4"/>
    </row>
    <row r="1043" spans="32:34" ht="13" x14ac:dyDescent="0.15">
      <c r="AF1043" s="5"/>
      <c r="AH1043" s="4"/>
    </row>
    <row r="1044" spans="32:34" ht="13" x14ac:dyDescent="0.15">
      <c r="AF1044" s="5"/>
      <c r="AH1044" s="4"/>
    </row>
    <row r="1045" spans="32:34" ht="13" x14ac:dyDescent="0.15">
      <c r="AF1045" s="5"/>
      <c r="AH1045" s="4"/>
    </row>
    <row r="1046" spans="32:34" ht="13" x14ac:dyDescent="0.15">
      <c r="AF1046" s="5"/>
      <c r="AH1046" s="4"/>
    </row>
    <row r="1047" spans="32:34" ht="13" x14ac:dyDescent="0.15">
      <c r="AF1047" s="5"/>
      <c r="AH1047" s="4"/>
    </row>
    <row r="1048" spans="32:34" ht="13" x14ac:dyDescent="0.15">
      <c r="AF1048" s="5"/>
      <c r="AH1048" s="4"/>
    </row>
    <row r="1049" spans="32:34" ht="13" x14ac:dyDescent="0.15">
      <c r="AF1049" s="5"/>
      <c r="AH1049" s="4"/>
    </row>
    <row r="1050" spans="32:34" ht="13" x14ac:dyDescent="0.15">
      <c r="AF1050" s="5"/>
      <c r="AH1050" s="4"/>
    </row>
    <row r="1051" spans="32:34" ht="13" x14ac:dyDescent="0.15">
      <c r="AF1051" s="5"/>
      <c r="AH1051" s="4"/>
    </row>
    <row r="1052" spans="32:34" ht="13" x14ac:dyDescent="0.15">
      <c r="AF1052" s="5"/>
      <c r="AH1052" s="4"/>
    </row>
    <row r="1053" spans="32:34" ht="13" x14ac:dyDescent="0.15">
      <c r="AF1053" s="5"/>
      <c r="AH1053" s="4"/>
    </row>
    <row r="1054" spans="32:34" ht="13" x14ac:dyDescent="0.15">
      <c r="AF1054" s="5"/>
      <c r="AH1054" s="4"/>
    </row>
    <row r="1055" spans="32:34" ht="13" x14ac:dyDescent="0.15">
      <c r="AF1055" s="5"/>
      <c r="AH1055" s="4"/>
    </row>
    <row r="1056" spans="32:34" ht="13" x14ac:dyDescent="0.15">
      <c r="AF1056" s="5"/>
      <c r="AH1056" s="4"/>
    </row>
    <row r="1057" spans="32:34" ht="13" x14ac:dyDescent="0.15">
      <c r="AF1057" s="5"/>
      <c r="AH1057" s="4"/>
    </row>
    <row r="1058" spans="32:34" ht="13" x14ac:dyDescent="0.15">
      <c r="AF1058" s="5"/>
      <c r="AH1058" s="4"/>
    </row>
    <row r="1059" spans="32:34" ht="13" x14ac:dyDescent="0.15">
      <c r="AF1059" s="5"/>
      <c r="AH1059" s="4"/>
    </row>
    <row r="1060" spans="32:34" ht="13" x14ac:dyDescent="0.15">
      <c r="AF1060" s="5"/>
      <c r="AH1060" s="4"/>
    </row>
    <row r="1061" spans="32:34" ht="13" x14ac:dyDescent="0.15">
      <c r="AF1061" s="5"/>
      <c r="AH1061" s="4"/>
    </row>
    <row r="1062" spans="32:34" ht="13" x14ac:dyDescent="0.15">
      <c r="AF1062" s="5"/>
      <c r="AH1062" s="4"/>
    </row>
    <row r="1063" spans="32:34" ht="13" x14ac:dyDescent="0.15">
      <c r="AF1063" s="5"/>
      <c r="AH1063" s="4"/>
    </row>
    <row r="1064" spans="32:34" ht="13" x14ac:dyDescent="0.15">
      <c r="AF1064" s="5"/>
      <c r="AH1064" s="4"/>
    </row>
    <row r="1065" spans="32:34" ht="13" x14ac:dyDescent="0.15">
      <c r="AF1065" s="5"/>
      <c r="AH1065" s="4"/>
    </row>
    <row r="1066" spans="32:34" ht="13" x14ac:dyDescent="0.15">
      <c r="AF1066" s="5"/>
      <c r="AH1066" s="4"/>
    </row>
    <row r="1067" spans="32:34" ht="13" x14ac:dyDescent="0.15">
      <c r="AF1067" s="5"/>
      <c r="AH1067" s="4"/>
    </row>
    <row r="1068" spans="32:34" ht="13" x14ac:dyDescent="0.15">
      <c r="AF1068" s="5"/>
      <c r="AH1068" s="4"/>
    </row>
    <row r="1069" spans="32:34" ht="13" x14ac:dyDescent="0.15">
      <c r="AF1069" s="5"/>
      <c r="AH1069" s="4"/>
    </row>
    <row r="1070" spans="32:34" ht="13" x14ac:dyDescent="0.15">
      <c r="AF1070" s="5"/>
      <c r="AH1070" s="4"/>
    </row>
    <row r="1071" spans="32:34" ht="13" x14ac:dyDescent="0.15">
      <c r="AF1071" s="5"/>
      <c r="AH1071" s="4"/>
    </row>
    <row r="1072" spans="32:34" ht="13" x14ac:dyDescent="0.15">
      <c r="AF1072" s="5"/>
      <c r="AH1072" s="4"/>
    </row>
    <row r="1073" spans="32:34" ht="13" x14ac:dyDescent="0.15">
      <c r="AF1073" s="5"/>
      <c r="AH1073" s="4"/>
    </row>
    <row r="1074" spans="32:34" ht="13" x14ac:dyDescent="0.15">
      <c r="AF1074" s="5"/>
      <c r="AH1074" s="4"/>
    </row>
    <row r="1075" spans="32:34" ht="13" x14ac:dyDescent="0.15">
      <c r="AF1075" s="5"/>
      <c r="AH1075" s="4"/>
    </row>
    <row r="1076" spans="32:34" ht="13" x14ac:dyDescent="0.15">
      <c r="AF1076" s="5"/>
      <c r="AH1076" s="4"/>
    </row>
    <row r="1077" spans="32:34" ht="13" x14ac:dyDescent="0.15">
      <c r="AF1077" s="5"/>
      <c r="AH1077" s="4"/>
    </row>
    <row r="1078" spans="32:34" ht="13" x14ac:dyDescent="0.15">
      <c r="AF1078" s="5"/>
      <c r="AH1078" s="4"/>
    </row>
    <row r="1079" spans="32:34" ht="13" x14ac:dyDescent="0.15">
      <c r="AF1079" s="5"/>
      <c r="AH1079" s="4"/>
    </row>
    <row r="1080" spans="32:34" ht="13" x14ac:dyDescent="0.15">
      <c r="AF1080" s="5"/>
      <c r="AH1080" s="4"/>
    </row>
    <row r="1081" spans="32:34" ht="13" x14ac:dyDescent="0.15">
      <c r="AF1081" s="5"/>
      <c r="AH1081" s="4"/>
    </row>
    <row r="1082" spans="32:34" ht="13" x14ac:dyDescent="0.15">
      <c r="AF1082" s="5"/>
      <c r="AH1082" s="4"/>
    </row>
    <row r="1083" spans="32:34" ht="13" x14ac:dyDescent="0.15">
      <c r="AF1083" s="5"/>
      <c r="AH1083" s="4"/>
    </row>
    <row r="1084" spans="32:34" ht="13" x14ac:dyDescent="0.15">
      <c r="AF1084" s="5"/>
      <c r="AH1084" s="4"/>
    </row>
    <row r="1085" spans="32:34" ht="13" x14ac:dyDescent="0.15">
      <c r="AF1085" s="5"/>
      <c r="AH1085" s="4"/>
    </row>
    <row r="1086" spans="32:34" ht="13" x14ac:dyDescent="0.15">
      <c r="AF1086" s="5"/>
      <c r="AH1086" s="4"/>
    </row>
    <row r="1087" spans="32:34" ht="13" x14ac:dyDescent="0.15">
      <c r="AF1087" s="5"/>
      <c r="AH1087" s="4"/>
    </row>
    <row r="1088" spans="32:34" ht="13" x14ac:dyDescent="0.15">
      <c r="AF1088" s="5"/>
      <c r="AH1088" s="4"/>
    </row>
    <row r="1089" spans="32:34" ht="13" x14ac:dyDescent="0.15">
      <c r="AF1089" s="5"/>
      <c r="AH1089" s="4"/>
    </row>
    <row r="1090" spans="32:34" ht="13" x14ac:dyDescent="0.15">
      <c r="AF1090" s="5"/>
      <c r="AH1090" s="4"/>
    </row>
    <row r="1091" spans="32:34" ht="13" x14ac:dyDescent="0.15">
      <c r="AF1091" s="5"/>
      <c r="AH1091" s="4"/>
    </row>
    <row r="1092" spans="32:34" ht="13" x14ac:dyDescent="0.15">
      <c r="AF1092" s="5"/>
      <c r="AH1092" s="4"/>
    </row>
  </sheetData>
  <conditionalFormatting sqref="C2:V89 W2:W90 X2:X93 Y2:AA95 AB2:AB96 AJ2:AJ102 AC2:AC103 AD2:AE110 AF2:AF1092 AH2:AH1092 AG54:AG179">
    <cfRule type="containsBlanks" dxfId="0" priority="1">
      <formula>LEN(TRIM(C2))=0</formula>
    </cfRule>
  </conditionalFormatting>
  <conditionalFormatting sqref="AJ1:AJ1092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Monthly sales 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AIE</cp:lastModifiedBy>
  <dcterms:created xsi:type="dcterms:W3CDTF">2025-08-08T12:39:30Z</dcterms:created>
  <dcterms:modified xsi:type="dcterms:W3CDTF">2025-08-12T18:36:56Z</dcterms:modified>
</cp:coreProperties>
</file>